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kelvin.mudzimuirema\Documents\Akello Daily Flash\"/>
    </mc:Choice>
  </mc:AlternateContent>
  <xr:revisionPtr revIDLastSave="0" documentId="13_ncr:1_{EE0F06A5-325B-478E-A68D-92F3ED25F8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 Aug 2025  USD" sheetId="1" r:id="rId1"/>
    <sheet name="19 Aug 2025 ZiG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7" i="1"/>
  <c r="I8" i="1"/>
  <c r="I7" i="1"/>
  <c r="H7" i="1"/>
  <c r="M8" i="4"/>
  <c r="M7" i="4"/>
  <c r="I8" i="4"/>
  <c r="I7" i="4"/>
  <c r="H7" i="4"/>
  <c r="C7" i="4"/>
  <c r="H8" i="4"/>
  <c r="H8" i="1"/>
  <c r="Q8" i="4" l="1"/>
  <c r="Q7" i="4"/>
  <c r="P7" i="4"/>
  <c r="P8" i="4"/>
  <c r="Q8" i="1"/>
  <c r="Q7" i="1"/>
  <c r="P8" i="1"/>
  <c r="P7" i="1"/>
  <c r="D8" i="4" l="1"/>
  <c r="D7" i="4"/>
  <c r="D8" i="1"/>
  <c r="D7" i="1"/>
  <c r="G7" i="1" l="1"/>
  <c r="O8" i="4" l="1"/>
  <c r="K9" i="4"/>
  <c r="F9" i="4"/>
  <c r="C9" i="4"/>
  <c r="L8" i="4"/>
  <c r="G8" i="4"/>
  <c r="G7" i="4"/>
  <c r="E8" i="4" l="1"/>
  <c r="G9" i="4"/>
  <c r="P9" i="4"/>
  <c r="N9" i="4"/>
  <c r="L7" i="4"/>
  <c r="H9" i="4"/>
  <c r="L9" i="4" s="1"/>
  <c r="D9" i="4" l="1"/>
  <c r="E9" i="4" s="1"/>
  <c r="E7" i="4"/>
  <c r="M9" i="4"/>
  <c r="O9" i="4" s="1"/>
  <c r="O7" i="4"/>
  <c r="R8" i="4"/>
  <c r="J8" i="4"/>
  <c r="I9" i="4"/>
  <c r="J9" i="4" s="1"/>
  <c r="R7" i="4" l="1"/>
  <c r="J7" i="4"/>
  <c r="Q9" i="4" l="1"/>
  <c r="R9" i="4" s="1"/>
  <c r="K9" i="1" l="1"/>
  <c r="L8" i="1"/>
  <c r="N9" i="1"/>
  <c r="H9" i="1"/>
  <c r="F9" i="1"/>
  <c r="C9" i="1"/>
  <c r="O8" i="1"/>
  <c r="G8" i="1"/>
  <c r="E8" i="1"/>
  <c r="L7" i="1" l="1"/>
  <c r="G9" i="1"/>
  <c r="L9" i="1"/>
  <c r="M9" i="1"/>
  <c r="O9" i="1" s="1"/>
  <c r="P9" i="1"/>
  <c r="J7" i="1"/>
  <c r="I9" i="1"/>
  <c r="O7" i="1"/>
  <c r="D9" i="1"/>
  <c r="E7" i="1"/>
  <c r="J9" i="1" l="1"/>
  <c r="E9" i="1"/>
  <c r="R8" i="1"/>
  <c r="J8" i="1"/>
  <c r="R7" i="1"/>
  <c r="Q9" i="1" l="1"/>
  <c r="R9" i="1" s="1"/>
</calcChain>
</file>

<file path=xl/sharedStrings.xml><?xml version="1.0" encoding="utf-8"?>
<sst xmlns="http://schemas.openxmlformats.org/spreadsheetml/2006/main" count="40" uniqueCount="21">
  <si>
    <t>Daily  Actual</t>
  </si>
  <si>
    <t>Daily Forecast</t>
  </si>
  <si>
    <t>% Budget Variance</t>
  </si>
  <si>
    <t>Prior day Actual</t>
  </si>
  <si>
    <t>Prior day Variance%</t>
  </si>
  <si>
    <t>% Prior Month Variance</t>
  </si>
  <si>
    <t>MTD Runrate</t>
  </si>
  <si>
    <t>Run rate % Variance</t>
  </si>
  <si>
    <t>Total</t>
  </si>
  <si>
    <t>Akello</t>
  </si>
  <si>
    <t>Smart learning</t>
  </si>
  <si>
    <t>Library</t>
  </si>
  <si>
    <r>
      <t xml:space="preserve">MTD FY25 </t>
    </r>
    <r>
      <rPr>
        <sz val="16"/>
        <color theme="0"/>
        <rFont val="Calibri"/>
        <family val="2"/>
        <scheme val="minor"/>
      </rPr>
      <t>Forecast (Budget)</t>
    </r>
  </si>
  <si>
    <t>YTD FY25 ACTUAL</t>
  </si>
  <si>
    <t>Prior Month  MTD FY26</t>
  </si>
  <si>
    <t>YTD Forecast FY26</t>
  </si>
  <si>
    <t>FY26 %Budget Variance</t>
  </si>
  <si>
    <r>
      <t xml:space="preserve">MTD FY26 </t>
    </r>
    <r>
      <rPr>
        <sz val="16"/>
        <color theme="0"/>
        <rFont val="Calibri"/>
        <family val="2"/>
        <scheme val="minor"/>
      </rPr>
      <t>Forecast (Budget)</t>
    </r>
  </si>
  <si>
    <t>YTD FY26 ACTUAL</t>
  </si>
  <si>
    <t>Aug FY26 Actual</t>
  </si>
  <si>
    <t>Aug Forecast FY26 (Budget)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</si>
</sst>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_ * #,##0.00_ ;_ * \-#,##0.00_ ;_ * &quot;-&quot;??_ ;_ @_ "/>
    <numFmt numFmtId="167" formatCode="_-* #,##0.0_-;\-* #,##0.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thin">
        <color theme="0"/>
      </left>
      <right style="thin">
        <color indexed="64"/>
      </right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78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9" fontId="2" fillId="2" borderId="0" xfId="2" applyFont="1" applyFill="1" applyBorder="1"/>
    <xf numFmtId="165" fontId="2" fillId="2" borderId="0" xfId="0" applyNumberFormat="1" applyFont="1" applyFill="1"/>
    <xf numFmtId="164" fontId="2" fillId="2" borderId="0" xfId="0" applyNumberFormat="1" applyFont="1" applyFill="1"/>
    <xf numFmtId="164" fontId="4" fillId="2" borderId="0" xfId="0" applyNumberFormat="1" applyFont="1" applyFill="1" applyAlignment="1">
      <alignment vertical="center"/>
    </xf>
    <xf numFmtId="0" fontId="3" fillId="2" borderId="0" xfId="0" applyFont="1" applyFill="1"/>
    <xf numFmtId="165" fontId="3" fillId="2" borderId="0" xfId="0" applyNumberFormat="1" applyFont="1" applyFill="1"/>
    <xf numFmtId="164" fontId="3" fillId="2" borderId="0" xfId="0" applyNumberFormat="1" applyFont="1" applyFill="1"/>
    <xf numFmtId="0" fontId="5" fillId="3" borderId="0" xfId="0" applyFont="1" applyFill="1"/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165" fontId="4" fillId="3" borderId="7" xfId="1" applyNumberFormat="1" applyFont="1" applyFill="1" applyBorder="1" applyAlignment="1">
      <alignment horizontal="right" vertical="center"/>
    </xf>
    <xf numFmtId="165" fontId="4" fillId="3" borderId="0" xfId="1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65" fontId="3" fillId="5" borderId="10" xfId="1" applyNumberFormat="1" applyFont="1" applyFill="1" applyBorder="1" applyAlignment="1">
      <alignment horizontal="right" vertical="center"/>
    </xf>
    <xf numFmtId="165" fontId="3" fillId="5" borderId="11" xfId="1" applyNumberFormat="1" applyFont="1" applyFill="1" applyBorder="1" applyAlignment="1">
      <alignment horizontal="right" vertical="center"/>
    </xf>
    <xf numFmtId="165" fontId="2" fillId="5" borderId="11" xfId="2" applyNumberFormat="1" applyFont="1" applyFill="1" applyBorder="1" applyAlignment="1">
      <alignment horizontal="center" vertical="center"/>
    </xf>
    <xf numFmtId="165" fontId="3" fillId="5" borderId="12" xfId="1" applyNumberFormat="1" applyFont="1" applyFill="1" applyBorder="1" applyAlignment="1">
      <alignment horizontal="right" vertical="center"/>
    </xf>
    <xf numFmtId="9" fontId="2" fillId="5" borderId="13" xfId="2" applyFont="1" applyFill="1" applyBorder="1" applyAlignment="1">
      <alignment horizontal="center" vertical="center"/>
    </xf>
    <xf numFmtId="165" fontId="5" fillId="5" borderId="14" xfId="1" applyNumberFormat="1" applyFont="1" applyFill="1" applyBorder="1" applyAlignment="1">
      <alignment horizontal="right" vertical="center"/>
    </xf>
    <xf numFmtId="9" fontId="2" fillId="5" borderId="15" xfId="2" applyFont="1" applyFill="1" applyBorder="1" applyAlignment="1">
      <alignment horizontal="center" vertical="center"/>
    </xf>
    <xf numFmtId="165" fontId="3" fillId="5" borderId="16" xfId="1" applyNumberFormat="1" applyFont="1" applyFill="1" applyBorder="1" applyAlignment="1">
      <alignment horizontal="right" vertical="center"/>
    </xf>
    <xf numFmtId="165" fontId="5" fillId="5" borderId="10" xfId="1" applyNumberFormat="1" applyFont="1" applyFill="1" applyBorder="1" applyAlignment="1">
      <alignment horizontal="right" vertical="center"/>
    </xf>
    <xf numFmtId="165" fontId="5" fillId="5" borderId="15" xfId="1" applyNumberFormat="1" applyFont="1" applyFill="1" applyBorder="1" applyAlignment="1">
      <alignment horizontal="right" vertical="center"/>
    </xf>
    <xf numFmtId="9" fontId="2" fillId="5" borderId="17" xfId="2" applyFont="1" applyFill="1" applyBorder="1" applyAlignment="1">
      <alignment horizontal="center" vertical="center"/>
    </xf>
    <xf numFmtId="9" fontId="2" fillId="5" borderId="18" xfId="2" applyFont="1" applyFill="1" applyBorder="1" applyAlignment="1">
      <alignment horizontal="center" vertical="center"/>
    </xf>
    <xf numFmtId="165" fontId="5" fillId="3" borderId="19" xfId="0" applyNumberFormat="1" applyFont="1" applyFill="1" applyBorder="1"/>
    <xf numFmtId="164" fontId="2" fillId="3" borderId="19" xfId="0" applyNumberFormat="1" applyFont="1" applyFill="1" applyBorder="1"/>
    <xf numFmtId="165" fontId="2" fillId="3" borderId="19" xfId="0" applyNumberFormat="1" applyFont="1" applyFill="1" applyBorder="1"/>
    <xf numFmtId="0" fontId="2" fillId="3" borderId="19" xfId="0" applyFont="1" applyFill="1" applyBorder="1"/>
    <xf numFmtId="0" fontId="2" fillId="3" borderId="20" xfId="0" applyFont="1" applyFill="1" applyBorder="1"/>
    <xf numFmtId="0" fontId="5" fillId="6" borderId="21" xfId="0" applyFont="1" applyFill="1" applyBorder="1" applyAlignment="1">
      <alignment vertical="center"/>
    </xf>
    <xf numFmtId="165" fontId="3" fillId="5" borderId="23" xfId="1" applyNumberFormat="1" applyFont="1" applyFill="1" applyBorder="1" applyAlignment="1">
      <alignment horizontal="right" vertical="center"/>
    </xf>
    <xf numFmtId="9" fontId="2" fillId="5" borderId="12" xfId="2" applyFont="1" applyFill="1" applyBorder="1" applyAlignment="1">
      <alignment horizontal="center" vertical="center"/>
    </xf>
    <xf numFmtId="9" fontId="2" fillId="5" borderId="24" xfId="2" applyFont="1" applyFill="1" applyBorder="1" applyAlignment="1">
      <alignment horizontal="center" vertical="center"/>
    </xf>
    <xf numFmtId="165" fontId="3" fillId="5" borderId="25" xfId="1" applyNumberFormat="1" applyFont="1" applyFill="1" applyBorder="1" applyAlignment="1">
      <alignment horizontal="right" vertical="center"/>
    </xf>
    <xf numFmtId="165" fontId="5" fillId="5" borderId="11" xfId="1" applyNumberFormat="1" applyFont="1" applyFill="1" applyBorder="1" applyAlignment="1">
      <alignment horizontal="right" vertical="center"/>
    </xf>
    <xf numFmtId="9" fontId="2" fillId="5" borderId="26" xfId="2" applyFont="1" applyFill="1" applyBorder="1" applyAlignment="1">
      <alignment horizontal="center" vertical="center"/>
    </xf>
    <xf numFmtId="9" fontId="2" fillId="5" borderId="16" xfId="2" applyFont="1" applyFill="1" applyBorder="1" applyAlignment="1">
      <alignment horizontal="center" vertical="center"/>
    </xf>
    <xf numFmtId="165" fontId="3" fillId="5" borderId="26" xfId="1" applyNumberFormat="1" applyFont="1" applyFill="1" applyBorder="1" applyAlignment="1">
      <alignment horizontal="right" vertical="center"/>
    </xf>
    <xf numFmtId="9" fontId="2" fillId="5" borderId="25" xfId="2" applyFont="1" applyFill="1" applyBorder="1" applyAlignment="1">
      <alignment horizontal="center" vertical="center"/>
    </xf>
    <xf numFmtId="9" fontId="2" fillId="5" borderId="27" xfId="2" applyFont="1" applyFill="1" applyBorder="1" applyAlignment="1">
      <alignment horizontal="center" vertical="center"/>
    </xf>
    <xf numFmtId="165" fontId="5" fillId="3" borderId="0" xfId="0" applyNumberFormat="1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0" fontId="2" fillId="3" borderId="28" xfId="0" applyFont="1" applyFill="1" applyBorder="1"/>
    <xf numFmtId="165" fontId="3" fillId="5" borderId="29" xfId="1" applyNumberFormat="1" applyFont="1" applyFill="1" applyBorder="1" applyAlignment="1">
      <alignment horizontal="right" vertical="center"/>
    </xf>
    <xf numFmtId="165" fontId="8" fillId="5" borderId="31" xfId="1" applyNumberFormat="1" applyFont="1" applyFill="1" applyBorder="1" applyAlignment="1">
      <alignment vertical="center"/>
    </xf>
    <xf numFmtId="165" fontId="8" fillId="5" borderId="32" xfId="1" applyNumberFormat="1" applyFont="1" applyFill="1" applyBorder="1" applyAlignment="1">
      <alignment vertical="center"/>
    </xf>
    <xf numFmtId="9" fontId="9" fillId="5" borderId="32" xfId="2" applyFont="1" applyFill="1" applyBorder="1" applyAlignment="1">
      <alignment horizontal="center" vertical="center"/>
    </xf>
    <xf numFmtId="165" fontId="8" fillId="5" borderId="33" xfId="1" applyNumberFormat="1" applyFont="1" applyFill="1" applyBorder="1" applyAlignment="1">
      <alignment vertical="center"/>
    </xf>
    <xf numFmtId="9" fontId="9" fillId="5" borderId="34" xfId="2" applyFont="1" applyFill="1" applyBorder="1" applyAlignment="1">
      <alignment horizontal="center" vertical="center"/>
    </xf>
    <xf numFmtId="165" fontId="8" fillId="5" borderId="35" xfId="1" applyNumberFormat="1" applyFont="1" applyFill="1" applyBorder="1" applyAlignment="1">
      <alignment vertical="center"/>
    </xf>
    <xf numFmtId="165" fontId="8" fillId="5" borderId="32" xfId="1" applyNumberFormat="1" applyFont="1" applyFill="1" applyBorder="1" applyAlignment="1">
      <alignment horizontal="right" vertical="center"/>
    </xf>
    <xf numFmtId="165" fontId="8" fillId="5" borderId="36" xfId="1" applyNumberFormat="1" applyFont="1" applyFill="1" applyBorder="1" applyAlignment="1">
      <alignment vertical="center"/>
    </xf>
    <xf numFmtId="9" fontId="9" fillId="5" borderId="33" xfId="2" applyFont="1" applyFill="1" applyBorder="1" applyAlignment="1">
      <alignment horizontal="center" vertical="center"/>
    </xf>
    <xf numFmtId="165" fontId="8" fillId="5" borderId="35" xfId="1" applyNumberFormat="1" applyFont="1" applyFill="1" applyBorder="1" applyAlignment="1">
      <alignment horizontal="right" vertical="center"/>
    </xf>
    <xf numFmtId="165" fontId="9" fillId="5" borderId="34" xfId="1" applyNumberFormat="1" applyFont="1" applyFill="1" applyBorder="1" applyAlignment="1">
      <alignment horizontal="right" vertical="center"/>
    </xf>
    <xf numFmtId="9" fontId="9" fillId="5" borderId="35" xfId="2" applyFont="1" applyFill="1" applyBorder="1" applyAlignment="1">
      <alignment horizontal="center" vertical="center"/>
    </xf>
    <xf numFmtId="9" fontId="9" fillId="5" borderId="37" xfId="2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vertical="center"/>
    </xf>
    <xf numFmtId="167" fontId="3" fillId="5" borderId="22" xfId="1" applyNumberFormat="1" applyFont="1" applyFill="1" applyBorder="1" applyAlignment="1">
      <alignment horizontal="right" vertical="center"/>
    </xf>
    <xf numFmtId="164" fontId="3" fillId="5" borderId="22" xfId="1" applyFont="1" applyFill="1" applyBorder="1" applyAlignment="1">
      <alignment horizontal="right" vertical="center"/>
    </xf>
    <xf numFmtId="4" fontId="2" fillId="3" borderId="0" xfId="0" applyNumberFormat="1" applyFont="1" applyFill="1"/>
    <xf numFmtId="2" fontId="5" fillId="5" borderId="11" xfId="1" applyNumberFormat="1" applyFont="1" applyFill="1" applyBorder="1" applyAlignment="1">
      <alignment horizontal="right" vertical="center"/>
    </xf>
  </cellXfs>
  <cellStyles count="4">
    <cellStyle name="Comma" xfId="1" builtinId="3"/>
    <cellStyle name="Comma 46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81643</xdr:rowOff>
    </xdr:from>
    <xdr:ext cx="2290083" cy="106141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81643"/>
          <a:ext cx="2290083" cy="106141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81643</xdr:rowOff>
    </xdr:from>
    <xdr:ext cx="2290083" cy="106141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81643"/>
          <a:ext cx="2290083" cy="106141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81643</xdr:rowOff>
    </xdr:from>
    <xdr:ext cx="2290083" cy="1061414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81643"/>
          <a:ext cx="2290083" cy="106141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81643</xdr:rowOff>
    </xdr:from>
    <xdr:ext cx="2290083" cy="1061414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81643"/>
          <a:ext cx="2290083" cy="10614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81643</xdr:rowOff>
    </xdr:from>
    <xdr:ext cx="2290083" cy="1061414"/>
    <xdr:pic>
      <xdr:nvPicPr>
        <xdr:cNvPr id="2" name="Picture 1">
          <a:extLst>
            <a:ext uri="{FF2B5EF4-FFF2-40B4-BE49-F238E27FC236}">
              <a16:creationId xmlns:a16="http://schemas.microsoft.com/office/drawing/2014/main" id="{0EDB5999-EFA9-4C1E-9249-63CC1FBB0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" y="81643"/>
          <a:ext cx="2290083" cy="106141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81643</xdr:rowOff>
    </xdr:from>
    <xdr:ext cx="2290083" cy="1061414"/>
    <xdr:pic>
      <xdr:nvPicPr>
        <xdr:cNvPr id="3" name="Picture 2">
          <a:extLst>
            <a:ext uri="{FF2B5EF4-FFF2-40B4-BE49-F238E27FC236}">
              <a16:creationId xmlns:a16="http://schemas.microsoft.com/office/drawing/2014/main" id="{1F427A2C-5BC0-47C1-A751-C864761B3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" y="81643"/>
          <a:ext cx="2290083" cy="106141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81643</xdr:rowOff>
    </xdr:from>
    <xdr:ext cx="2290083" cy="1061414"/>
    <xdr:pic>
      <xdr:nvPicPr>
        <xdr:cNvPr id="4" name="Picture 3">
          <a:extLst>
            <a:ext uri="{FF2B5EF4-FFF2-40B4-BE49-F238E27FC236}">
              <a16:creationId xmlns:a16="http://schemas.microsoft.com/office/drawing/2014/main" id="{14ACCE14-96E8-4365-B446-C47922E03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" y="81643"/>
          <a:ext cx="2290083" cy="106141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81643</xdr:rowOff>
    </xdr:from>
    <xdr:ext cx="2290083" cy="1061414"/>
    <xdr:pic>
      <xdr:nvPicPr>
        <xdr:cNvPr id="5" name="Picture 4">
          <a:extLst>
            <a:ext uri="{FF2B5EF4-FFF2-40B4-BE49-F238E27FC236}">
              <a16:creationId xmlns:a16="http://schemas.microsoft.com/office/drawing/2014/main" id="{010F222F-D29F-4DEF-A75C-B2847A202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" y="81643"/>
          <a:ext cx="2290083" cy="10614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"/>
  <sheetViews>
    <sheetView tabSelected="1" topLeftCell="E1" zoomScale="70" zoomScaleNormal="70" workbookViewId="0">
      <selection activeCell="R7" sqref="R7"/>
    </sheetView>
  </sheetViews>
  <sheetFormatPr defaultColWidth="10.109375" defaultRowHeight="21" x14ac:dyDescent="0.4"/>
  <cols>
    <col min="1" max="1" width="5.77734375" style="2" customWidth="1"/>
    <col min="2" max="2" width="46.77734375" style="2" customWidth="1"/>
    <col min="3" max="3" width="19.33203125" style="2" customWidth="1"/>
    <col min="4" max="4" width="21.33203125" style="2" customWidth="1"/>
    <col min="5" max="5" width="16.44140625" style="2" customWidth="1"/>
    <col min="6" max="6" width="17.44140625" style="2" customWidth="1"/>
    <col min="7" max="7" width="22.5546875" style="2" customWidth="1"/>
    <col min="8" max="8" width="20.109375" style="2" bestFit="1" customWidth="1"/>
    <col min="9" max="9" width="22.33203125" style="2" bestFit="1" customWidth="1"/>
    <col min="10" max="10" width="17.6640625" style="2" bestFit="1" customWidth="1"/>
    <col min="11" max="11" width="20.109375" style="2" customWidth="1"/>
    <col min="12" max="12" width="17.6640625" style="2" customWidth="1"/>
    <col min="13" max="13" width="22.109375" style="2" customWidth="1"/>
    <col min="14" max="14" width="22.77734375" style="2" bestFit="1" customWidth="1"/>
    <col min="15" max="15" width="19.44140625" style="2" bestFit="1" customWidth="1"/>
    <col min="16" max="16" width="22.109375" style="2" customWidth="1"/>
    <col min="17" max="17" width="25.109375" style="2" customWidth="1"/>
    <col min="18" max="18" width="17" style="2" customWidth="1"/>
    <col min="19" max="19" width="34.44140625" style="2" customWidth="1"/>
    <col min="20" max="20" width="13.109375" style="2" customWidth="1"/>
    <col min="21" max="21" width="14.44140625" style="2" customWidth="1"/>
    <col min="22" max="22" width="13.109375" style="2" customWidth="1"/>
    <col min="23" max="16384" width="10.109375" style="2"/>
  </cols>
  <sheetData>
    <row r="1" spans="1:42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42" ht="24" customHeight="1" x14ac:dyDescent="0.4">
      <c r="A2" s="1"/>
      <c r="B2" s="3"/>
      <c r="C2" s="4"/>
      <c r="D2" s="1"/>
      <c r="E2" s="1"/>
      <c r="F2" s="1"/>
      <c r="G2" s="5"/>
      <c r="H2" s="6"/>
      <c r="I2" s="6"/>
      <c r="J2" s="7"/>
      <c r="K2" s="7"/>
      <c r="L2" s="7"/>
      <c r="M2" s="7"/>
      <c r="N2" s="1"/>
      <c r="O2" s="1"/>
      <c r="P2" s="1"/>
      <c r="Q2" s="1"/>
      <c r="R2" s="1"/>
    </row>
    <row r="3" spans="1:42" ht="46.5" customHeight="1" thickBot="1" x14ac:dyDescent="0.45">
      <c r="A3" s="1"/>
      <c r="B3" s="4"/>
      <c r="C3" s="8"/>
      <c r="D3" s="9"/>
      <c r="E3" s="1"/>
      <c r="F3" s="10"/>
      <c r="G3" s="6"/>
      <c r="H3" s="11"/>
      <c r="I3" s="10"/>
      <c r="J3" s="9"/>
      <c r="K3" s="9"/>
      <c r="L3" s="9"/>
      <c r="M3" s="9"/>
      <c r="N3" s="9"/>
      <c r="O3" s="9"/>
      <c r="P3" s="11"/>
      <c r="Q3" s="9"/>
      <c r="R3" s="9"/>
      <c r="S3" s="12"/>
      <c r="T3" s="12"/>
    </row>
    <row r="4" spans="1:42" ht="77.55" customHeight="1" thickBot="1" x14ac:dyDescent="0.45">
      <c r="A4" s="1"/>
      <c r="B4" s="13"/>
      <c r="C4" s="14" t="s">
        <v>0</v>
      </c>
      <c r="D4" s="15" t="s">
        <v>1</v>
      </c>
      <c r="E4" s="15" t="s">
        <v>2</v>
      </c>
      <c r="F4" s="15" t="s">
        <v>3</v>
      </c>
      <c r="G4" s="16" t="s">
        <v>4</v>
      </c>
      <c r="H4" s="14" t="s">
        <v>19</v>
      </c>
      <c r="I4" s="15" t="s">
        <v>17</v>
      </c>
      <c r="J4" s="16" t="s">
        <v>2</v>
      </c>
      <c r="K4" s="15" t="s">
        <v>14</v>
      </c>
      <c r="L4" s="16" t="s">
        <v>5</v>
      </c>
      <c r="M4" s="14" t="s">
        <v>6</v>
      </c>
      <c r="N4" s="15" t="s">
        <v>20</v>
      </c>
      <c r="O4" s="14" t="s">
        <v>7</v>
      </c>
      <c r="P4" s="15" t="s">
        <v>18</v>
      </c>
      <c r="Q4" s="15" t="s">
        <v>15</v>
      </c>
      <c r="R4" s="17" t="s">
        <v>16</v>
      </c>
      <c r="S4" s="12"/>
      <c r="T4" s="12"/>
    </row>
    <row r="5" spans="1:42" ht="21.6" thickBot="1" x14ac:dyDescent="0.45">
      <c r="A5" s="1"/>
      <c r="B5" s="18"/>
      <c r="C5" s="19"/>
      <c r="D5" s="20"/>
      <c r="E5" s="21"/>
      <c r="F5" s="20"/>
      <c r="G5" s="22"/>
      <c r="H5" s="19"/>
      <c r="I5" s="20"/>
      <c r="J5" s="22"/>
      <c r="K5" s="20"/>
      <c r="L5" s="22"/>
      <c r="M5" s="23"/>
      <c r="N5" s="24"/>
      <c r="O5" s="25"/>
      <c r="P5" s="20"/>
      <c r="Q5" s="20"/>
      <c r="R5" s="26"/>
      <c r="S5" s="12"/>
      <c r="T5" s="12"/>
    </row>
    <row r="6" spans="1:42" ht="21.6" thickBot="1" x14ac:dyDescent="0.45">
      <c r="A6" s="1"/>
      <c r="B6" s="18" t="s">
        <v>9</v>
      </c>
      <c r="C6" s="27"/>
      <c r="D6" s="28"/>
      <c r="E6" s="29"/>
      <c r="F6" s="30"/>
      <c r="G6" s="31"/>
      <c r="H6" s="27"/>
      <c r="I6" s="32"/>
      <c r="J6" s="33"/>
      <c r="K6" s="34"/>
      <c r="L6" s="31"/>
      <c r="M6" s="35"/>
      <c r="N6" s="36"/>
      <c r="O6" s="37"/>
      <c r="P6" s="28"/>
      <c r="Q6" s="28"/>
      <c r="R6" s="38"/>
      <c r="S6" s="39"/>
      <c r="T6" s="39"/>
      <c r="U6" s="40"/>
      <c r="V6" s="41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3"/>
    </row>
    <row r="7" spans="1:42" ht="22.05" customHeight="1" thickBot="1" x14ac:dyDescent="0.45">
      <c r="A7" s="1"/>
      <c r="B7" s="44" t="s">
        <v>10</v>
      </c>
      <c r="C7" s="74">
        <v>1020</v>
      </c>
      <c r="D7" s="45">
        <f>N7/31</f>
        <v>290.32258064516128</v>
      </c>
      <c r="E7" s="46">
        <f>IF(D7=0,"-",(C7-D7)/D7)</f>
        <v>2.5133333333333336</v>
      </c>
      <c r="F7" s="74">
        <v>904</v>
      </c>
      <c r="G7" s="47">
        <f>IF(F7=0,"-",(C7-F7)/F7)</f>
        <v>0.12831858407079647</v>
      </c>
      <c r="H7" s="48">
        <f>1938+808+1067+796+355+1495+288+1031+904+1020</f>
        <v>9702</v>
      </c>
      <c r="I7" s="77">
        <f>D7*19</f>
        <v>5516.1290322580644</v>
      </c>
      <c r="J7" s="50">
        <f>IF(I7=0,"-",(H7-I7)/I7)</f>
        <v>0.75884210526315798</v>
      </c>
      <c r="K7" s="48">
        <v>37713</v>
      </c>
      <c r="L7" s="51">
        <f>IF(K7=0,"-",(H7-K7)/K7)</f>
        <v>-0.74274122981465274</v>
      </c>
      <c r="M7" s="35">
        <f>H7*31/19</f>
        <v>15829.578947368422</v>
      </c>
      <c r="N7" s="52">
        <v>9000</v>
      </c>
      <c r="O7" s="53">
        <f>IF(N7=0,"-",(M7-N7)/N7)</f>
        <v>0.75884210526315798</v>
      </c>
      <c r="P7" s="30">
        <f>240459.88+H7</f>
        <v>250161.88</v>
      </c>
      <c r="Q7" s="30">
        <f>116348+I7</f>
        <v>121864.12903225806</v>
      </c>
      <c r="R7" s="54">
        <f t="shared" ref="R7:R9" si="0">IF(Q7=0,"-",(P7-Q7)/Q7)</f>
        <v>1.052793401853148</v>
      </c>
      <c r="S7" s="55"/>
      <c r="T7" s="55"/>
      <c r="U7" s="56"/>
      <c r="V7" s="57"/>
      <c r="AP7" s="58"/>
    </row>
    <row r="8" spans="1:42" ht="22.05" customHeight="1" thickBot="1" x14ac:dyDescent="0.45">
      <c r="A8" s="1"/>
      <c r="B8" s="44" t="s">
        <v>11</v>
      </c>
      <c r="C8" s="74">
        <v>0</v>
      </c>
      <c r="D8" s="45">
        <f>N8/31</f>
        <v>903.22580645161293</v>
      </c>
      <c r="E8" s="46">
        <f>IF(D8=0,"-",(C8-D8)/D8)</f>
        <v>-1</v>
      </c>
      <c r="F8" s="74">
        <v>1</v>
      </c>
      <c r="G8" s="47">
        <f>IF(F8=0,"-",(C8-F8)/F8)</f>
        <v>-1</v>
      </c>
      <c r="H8" s="75">
        <f>18.44+2.5+228.11+3+11.5+18.5+2.74+12+1</f>
        <v>297.79000000000002</v>
      </c>
      <c r="I8" s="77">
        <f>D8*19</f>
        <v>17161.290322580644</v>
      </c>
      <c r="J8" s="50">
        <f>IF(I8=0,"-",(H8-I8)/I8)</f>
        <v>-0.98264757518796986</v>
      </c>
      <c r="K8" s="75">
        <v>21849.89</v>
      </c>
      <c r="L8" s="51">
        <f>IF(K8=0,"-",(H8-K8)/K8)</f>
        <v>-0.98637109843573578</v>
      </c>
      <c r="M8" s="35">
        <f>H8*31/19</f>
        <v>485.86789473684212</v>
      </c>
      <c r="N8" s="59">
        <v>28000</v>
      </c>
      <c r="O8" s="53">
        <f>IF(N8=0,"-",(M8-N8)/N8)</f>
        <v>-0.98264757518796986</v>
      </c>
      <c r="P8" s="30">
        <f>176354.36+H8</f>
        <v>176652.15</v>
      </c>
      <c r="Q8" s="30">
        <f>237868.74+I8</f>
        <v>255030.03032258063</v>
      </c>
      <c r="R8" s="54">
        <f t="shared" si="0"/>
        <v>-0.30732804377367856</v>
      </c>
      <c r="S8" s="55"/>
      <c r="T8" s="55"/>
      <c r="U8" s="56"/>
      <c r="V8" s="57"/>
      <c r="AP8" s="58"/>
    </row>
    <row r="9" spans="1:42" ht="21.75" customHeight="1" thickBot="1" x14ac:dyDescent="0.45">
      <c r="A9" s="1"/>
      <c r="B9" s="73" t="s">
        <v>8</v>
      </c>
      <c r="C9" s="60">
        <f>SUM(C7:C8)</f>
        <v>1020</v>
      </c>
      <c r="D9" s="61">
        <f>SUM(D7:D8)</f>
        <v>1193.5483870967741</v>
      </c>
      <c r="E9" s="62">
        <f t="shared" ref="E9" si="1">IF(D9=0,"-",(C9-D9)/D9)</f>
        <v>-0.14540540540540536</v>
      </c>
      <c r="F9" s="63">
        <f>SUM(F7:F8)</f>
        <v>905</v>
      </c>
      <c r="G9" s="64">
        <f t="shared" ref="G9" si="2">IF(F9=0,"-",(C9-F9)/F9)</f>
        <v>0.1270718232044199</v>
      </c>
      <c r="H9" s="65">
        <f>SUM(H7:H8)</f>
        <v>9999.7900000000009</v>
      </c>
      <c r="I9" s="66">
        <f>SUM(I7:I8)</f>
        <v>22677.419354838708</v>
      </c>
      <c r="J9" s="64">
        <f t="shared" ref="J9" si="3">IF(I9=0,"-",(H9-I9)/I9)</f>
        <v>-0.55904197724039828</v>
      </c>
      <c r="K9" s="67">
        <f>SUM(K7:K8)</f>
        <v>59562.89</v>
      </c>
      <c r="L9" s="68">
        <f t="shared" ref="L9" si="4">IF(K9=0,"-",(H9-K9)/K9)</f>
        <v>-0.83211375405055055</v>
      </c>
      <c r="M9" s="69">
        <f>SUM(M7:M8)</f>
        <v>16315.446842105264</v>
      </c>
      <c r="N9" s="70">
        <f>SUM(N7:N8)</f>
        <v>37000</v>
      </c>
      <c r="O9" s="71">
        <f t="shared" ref="O9" si="5">IF(N9=0,"-",(M9-N9)/N9)</f>
        <v>-0.55904197724039817</v>
      </c>
      <c r="P9" s="61">
        <f>SUM(P7:P8)</f>
        <v>426814.03</v>
      </c>
      <c r="Q9" s="61">
        <f>SUM(Q7:Q8)</f>
        <v>376894.15935483866</v>
      </c>
      <c r="R9" s="72">
        <f t="shared" si="0"/>
        <v>0.13245063476338662</v>
      </c>
      <c r="S9" s="12"/>
      <c r="T9" s="55"/>
      <c r="U9" s="56"/>
      <c r="V9" s="57"/>
      <c r="AP9" s="58"/>
    </row>
  </sheetData>
  <conditionalFormatting sqref="E6">
    <cfRule type="iconSet" priority="134">
      <iconSet iconSet="3Arrows">
        <cfvo type="percent" val="0"/>
        <cfvo type="num" val="0"/>
        <cfvo type="num" val="0"/>
      </iconSet>
    </cfRule>
  </conditionalFormatting>
  <conditionalFormatting sqref="G6">
    <cfRule type="iconSet" priority="135">
      <iconSet iconSet="3Arrows">
        <cfvo type="percent" val="0"/>
        <cfvo type="num" val="0"/>
        <cfvo type="num" val="0"/>
      </iconSet>
    </cfRule>
  </conditionalFormatting>
  <conditionalFormatting sqref="J6">
    <cfRule type="iconSet" priority="141">
      <iconSet iconSet="3Arrows">
        <cfvo type="percent" val="0"/>
        <cfvo type="num" val="0"/>
        <cfvo type="num" val="0"/>
      </iconSet>
    </cfRule>
  </conditionalFormatting>
  <conditionalFormatting sqref="L6">
    <cfRule type="iconSet" priority="138">
      <iconSet iconSet="3Arrows">
        <cfvo type="percent" val="0"/>
        <cfvo type="num" val="0"/>
        <cfvo type="num" val="0"/>
      </iconSet>
    </cfRule>
  </conditionalFormatting>
  <conditionalFormatting sqref="O6">
    <cfRule type="iconSet" priority="160">
      <iconSet iconSet="3Arrows">
        <cfvo type="percent" val="0"/>
        <cfvo type="num" val="0"/>
        <cfvo type="num" val="0"/>
      </iconSet>
    </cfRule>
  </conditionalFormatting>
  <conditionalFormatting sqref="R6">
    <cfRule type="iconSet" priority="137">
      <iconSet iconSet="3Arrows">
        <cfvo type="percent" val="0"/>
        <cfvo type="num" val="0"/>
        <cfvo type="num" val="0"/>
      </iconSet>
    </cfRule>
  </conditionalFormatting>
  <conditionalFormatting sqref="R9">
    <cfRule type="iconSet" priority="12">
      <iconSet iconSet="3Arrows">
        <cfvo type="percent" val="0"/>
        <cfvo type="num" val="0"/>
        <cfvo type="num" val="0"/>
      </iconSet>
    </cfRule>
  </conditionalFormatting>
  <conditionalFormatting sqref="E7:E9">
    <cfRule type="iconSet" priority="199">
      <iconSet iconSet="3Arrows">
        <cfvo type="percent" val="0"/>
        <cfvo type="num" val="0"/>
        <cfvo type="num" val="0"/>
      </iconSet>
    </cfRule>
  </conditionalFormatting>
  <conditionalFormatting sqref="G7:G9">
    <cfRule type="iconSet" priority="201">
      <iconSet iconSet="3Arrows">
        <cfvo type="percent" val="0"/>
        <cfvo type="num" val="0"/>
        <cfvo type="num" val="0"/>
      </iconSet>
    </cfRule>
  </conditionalFormatting>
  <conditionalFormatting sqref="J7:J9">
    <cfRule type="iconSet" priority="205">
      <iconSet iconSet="3Arrows">
        <cfvo type="percent" val="0"/>
        <cfvo type="num" val="0"/>
        <cfvo type="num" val="0"/>
      </iconSet>
    </cfRule>
  </conditionalFormatting>
  <conditionalFormatting sqref="L7:L9">
    <cfRule type="iconSet" priority="207">
      <iconSet iconSet="3Arrows">
        <cfvo type="percent" val="0"/>
        <cfvo type="num" val="0"/>
        <cfvo type="num" val="0"/>
      </iconSet>
    </cfRule>
  </conditionalFormatting>
  <conditionalFormatting sqref="O7:O9">
    <cfRule type="iconSet" priority="20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21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6" id="{C685EAD8-5F76-47E9-AC72-6C5A37E31CC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G6</xm:sqref>
        </x14:conditionalFormatting>
        <x14:conditionalFormatting xmlns:xm="http://schemas.microsoft.com/office/excel/2006/main">
          <x14:cfRule type="iconSet" priority="142" id="{946D2B58-E041-4E80-B76B-799F5782698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J6</xm:sqref>
        </x14:conditionalFormatting>
        <x14:conditionalFormatting xmlns:xm="http://schemas.microsoft.com/office/excel/2006/main">
          <x14:cfRule type="iconSet" priority="139" id="{ECBA9CC8-52A0-40EA-8834-EA989294E34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L6</xm:sqref>
        </x14:conditionalFormatting>
        <x14:conditionalFormatting xmlns:xm="http://schemas.microsoft.com/office/excel/2006/main">
          <x14:cfRule type="iconSet" priority="161" id="{C628BBA0-6E1E-462D-88E0-4A7BFB6255B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O6</xm:sqref>
        </x14:conditionalFormatting>
        <x14:conditionalFormatting xmlns:xm="http://schemas.microsoft.com/office/excel/2006/main">
          <x14:cfRule type="iconSet" priority="202" id="{6D791A83-3416-45DA-B82A-FA593F3C2E4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G7:G9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7E55-A3ED-4B11-A81F-EB8FBAA6F9B8}">
  <dimension ref="A1:AP14"/>
  <sheetViews>
    <sheetView zoomScale="70" zoomScaleNormal="70" workbookViewId="0">
      <selection activeCell="C7" sqref="C7"/>
    </sheetView>
  </sheetViews>
  <sheetFormatPr defaultColWidth="10.109375" defaultRowHeight="21" x14ac:dyDescent="0.4"/>
  <cols>
    <col min="1" max="1" width="5.77734375" style="2" customWidth="1"/>
    <col min="2" max="2" width="46.77734375" style="2" customWidth="1"/>
    <col min="3" max="3" width="19.33203125" style="2" customWidth="1"/>
    <col min="4" max="4" width="21.33203125" style="2" customWidth="1"/>
    <col min="5" max="5" width="16.44140625" style="2" customWidth="1"/>
    <col min="6" max="6" width="17.44140625" style="2" customWidth="1"/>
    <col min="7" max="7" width="23.77734375" style="2" customWidth="1"/>
    <col min="8" max="8" width="20.109375" style="2" bestFit="1" customWidth="1"/>
    <col min="9" max="9" width="22.33203125" style="2" bestFit="1" customWidth="1"/>
    <col min="10" max="10" width="17.6640625" style="2" bestFit="1" customWidth="1"/>
    <col min="11" max="11" width="20.109375" style="2" customWidth="1"/>
    <col min="12" max="12" width="17.6640625" style="2" customWidth="1"/>
    <col min="13" max="13" width="22.109375" style="2" customWidth="1"/>
    <col min="14" max="14" width="22.77734375" style="2" bestFit="1" customWidth="1"/>
    <col min="15" max="15" width="19.44140625" style="2" bestFit="1" customWidth="1"/>
    <col min="16" max="16" width="22.109375" style="2" customWidth="1"/>
    <col min="17" max="17" width="25.109375" style="2" customWidth="1"/>
    <col min="18" max="18" width="17" style="2" customWidth="1"/>
    <col min="19" max="19" width="34.44140625" style="2" customWidth="1"/>
    <col min="20" max="20" width="13.109375" style="2" customWidth="1"/>
    <col min="21" max="21" width="14.44140625" style="2" customWidth="1"/>
    <col min="22" max="22" width="13.109375" style="2" customWidth="1"/>
    <col min="23" max="16384" width="10.109375" style="2"/>
  </cols>
  <sheetData>
    <row r="1" spans="1:42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42" ht="24" customHeight="1" x14ac:dyDescent="0.4">
      <c r="A2" s="1"/>
      <c r="B2" s="3"/>
      <c r="C2" s="4"/>
      <c r="D2" s="1"/>
      <c r="E2" s="1"/>
      <c r="F2" s="1"/>
      <c r="G2" s="5"/>
      <c r="H2" s="6"/>
      <c r="I2" s="6"/>
      <c r="J2" s="7"/>
      <c r="K2" s="7"/>
      <c r="L2" s="7"/>
      <c r="M2" s="7"/>
      <c r="N2" s="1"/>
      <c r="O2" s="1"/>
      <c r="P2" s="1"/>
      <c r="Q2" s="1"/>
      <c r="R2" s="1"/>
    </row>
    <row r="3" spans="1:42" ht="46.5" customHeight="1" thickBot="1" x14ac:dyDescent="0.45">
      <c r="A3" s="1"/>
      <c r="B3" s="4"/>
      <c r="C3" s="8"/>
      <c r="D3" s="9"/>
      <c r="E3" s="1"/>
      <c r="F3" s="10"/>
      <c r="G3" s="6"/>
      <c r="H3" s="11"/>
      <c r="I3" s="10"/>
      <c r="J3" s="9"/>
      <c r="K3" s="9"/>
      <c r="L3" s="9"/>
      <c r="M3" s="9"/>
      <c r="N3" s="9"/>
      <c r="O3" s="9"/>
      <c r="P3" s="11"/>
      <c r="Q3" s="9"/>
      <c r="R3" s="9"/>
      <c r="S3" s="12"/>
      <c r="T3" s="12"/>
    </row>
    <row r="4" spans="1:42" ht="77.55" customHeight="1" thickBot="1" x14ac:dyDescent="0.45">
      <c r="A4" s="1"/>
      <c r="B4" s="13"/>
      <c r="C4" s="14" t="s">
        <v>0</v>
      </c>
      <c r="D4" s="15" t="s">
        <v>1</v>
      </c>
      <c r="E4" s="15" t="s">
        <v>2</v>
      </c>
      <c r="F4" s="15" t="s">
        <v>3</v>
      </c>
      <c r="G4" s="16" t="s">
        <v>4</v>
      </c>
      <c r="H4" s="14" t="s">
        <v>19</v>
      </c>
      <c r="I4" s="15" t="s">
        <v>12</v>
      </c>
      <c r="J4" s="16" t="s">
        <v>2</v>
      </c>
      <c r="K4" s="15" t="s">
        <v>14</v>
      </c>
      <c r="L4" s="16" t="s">
        <v>5</v>
      </c>
      <c r="M4" s="14" t="s">
        <v>6</v>
      </c>
      <c r="N4" s="15" t="s">
        <v>20</v>
      </c>
      <c r="O4" s="14" t="s">
        <v>7</v>
      </c>
      <c r="P4" s="15" t="s">
        <v>13</v>
      </c>
      <c r="Q4" s="15" t="s">
        <v>15</v>
      </c>
      <c r="R4" s="17" t="s">
        <v>16</v>
      </c>
      <c r="S4" s="12"/>
      <c r="T4" s="12"/>
    </row>
    <row r="5" spans="1:42" ht="21.6" thickBot="1" x14ac:dyDescent="0.45">
      <c r="A5" s="1"/>
      <c r="B5" s="18"/>
      <c r="C5" s="19"/>
      <c r="D5" s="20"/>
      <c r="E5" s="21"/>
      <c r="F5" s="20"/>
      <c r="G5" s="22"/>
      <c r="H5" s="19"/>
      <c r="I5" s="20"/>
      <c r="J5" s="22"/>
      <c r="K5" s="20"/>
      <c r="L5" s="22"/>
      <c r="M5" s="23"/>
      <c r="N5" s="24"/>
      <c r="O5" s="25"/>
      <c r="P5" s="20"/>
      <c r="Q5" s="20"/>
      <c r="R5" s="26"/>
      <c r="S5" s="12"/>
      <c r="T5" s="12"/>
    </row>
    <row r="6" spans="1:42" ht="21.6" thickBot="1" x14ac:dyDescent="0.45">
      <c r="A6" s="1"/>
      <c r="B6" s="18" t="s">
        <v>9</v>
      </c>
      <c r="C6" s="27"/>
      <c r="D6" s="28"/>
      <c r="E6" s="29"/>
      <c r="F6" s="30"/>
      <c r="G6" s="31"/>
      <c r="H6" s="27"/>
      <c r="I6" s="32"/>
      <c r="J6" s="33"/>
      <c r="K6" s="34"/>
      <c r="L6" s="31"/>
      <c r="M6" s="35"/>
      <c r="N6" s="36"/>
      <c r="O6" s="37"/>
      <c r="P6" s="28"/>
      <c r="Q6" s="28"/>
      <c r="R6" s="38"/>
      <c r="S6" s="39"/>
      <c r="T6" s="39"/>
      <c r="U6" s="40"/>
      <c r="V6" s="41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3"/>
    </row>
    <row r="7" spans="1:42" ht="22.05" customHeight="1" thickBot="1" x14ac:dyDescent="0.45">
      <c r="A7" s="1"/>
      <c r="B7" s="44" t="s">
        <v>10</v>
      </c>
      <c r="C7" s="74">
        <f>1020*37</f>
        <v>37740</v>
      </c>
      <c r="D7" s="45">
        <f>(N7/31)</f>
        <v>10741.935483870968</v>
      </c>
      <c r="E7" s="46">
        <f>IF(D7=0,"-",(C7-D7)/D7)</f>
        <v>2.5133333333333332</v>
      </c>
      <c r="F7" s="74">
        <v>33448</v>
      </c>
      <c r="G7" s="47">
        <f>IF(F7=0,"-",(C7-F7)/F7)</f>
        <v>0.12831858407079647</v>
      </c>
      <c r="H7" s="48">
        <f>71706+29896+39479+29452+13135+55315+10656+13542+38147+33448+37740</f>
        <v>372516</v>
      </c>
      <c r="I7" s="49">
        <f>D7*19</f>
        <v>204096.77419354839</v>
      </c>
      <c r="J7" s="50">
        <f t="shared" ref="J7:J9" si="0">IF(I7=0,"-",(H7-I7)/I7)</f>
        <v>0.82519298245614026</v>
      </c>
      <c r="K7" s="48">
        <v>1395381</v>
      </c>
      <c r="L7" s="51">
        <f t="shared" ref="L7:L9" si="1">IF(K7=0,"-",(H7-K7)/K7)</f>
        <v>-0.73303635351205154</v>
      </c>
      <c r="M7" s="35">
        <f>H7*31/19</f>
        <v>607789.26315789472</v>
      </c>
      <c r="N7" s="52">
        <v>333000</v>
      </c>
      <c r="O7" s="53">
        <f t="shared" ref="O7:O9" si="2">IF(N7=0,"-",(M7-N7)/N7)</f>
        <v>0.82519298245614026</v>
      </c>
      <c r="P7" s="30">
        <f>8369001+H7</f>
        <v>8741517</v>
      </c>
      <c r="Q7" s="30">
        <f>3507526+I7</f>
        <v>3711622.7741935486</v>
      </c>
      <c r="R7" s="54">
        <f t="shared" ref="R7:R9" si="3">IF(Q7=0,"-",(P7-Q7)/Q7)</f>
        <v>1.3551738772535507</v>
      </c>
      <c r="S7" s="55"/>
      <c r="T7" s="55"/>
      <c r="U7" s="56"/>
      <c r="V7" s="57"/>
      <c r="AP7" s="58"/>
    </row>
    <row r="8" spans="1:42" ht="22.05" customHeight="1" thickBot="1" x14ac:dyDescent="0.45">
      <c r="A8" s="1"/>
      <c r="B8" s="44" t="s">
        <v>11</v>
      </c>
      <c r="C8" s="74">
        <v>0</v>
      </c>
      <c r="D8" s="45">
        <f>(N8/31)</f>
        <v>33419.354838709674</v>
      </c>
      <c r="E8" s="46">
        <f>IF(D8=0,"-",(C8-D8)/D8)</f>
        <v>-1</v>
      </c>
      <c r="F8" s="74">
        <v>37</v>
      </c>
      <c r="G8" s="47">
        <f>IF(F8=0,"-",(C8-F8)/F8)</f>
        <v>-1</v>
      </c>
      <c r="H8" s="75">
        <f>628.3+92.5+8440.1+111+425.5+686+101.4+407+444+37</f>
        <v>11372.8</v>
      </c>
      <c r="I8" s="49">
        <f>D8*19</f>
        <v>634967.74193548376</v>
      </c>
      <c r="J8" s="50">
        <f>IF(I8=0,"-",(H8-I8)/I8)</f>
        <v>-0.98208916886811615</v>
      </c>
      <c r="K8" s="75">
        <v>810463.5</v>
      </c>
      <c r="L8" s="51">
        <f t="shared" si="1"/>
        <v>-0.98596753586065256</v>
      </c>
      <c r="M8" s="35">
        <f>H8*31/19</f>
        <v>18555.621052631577</v>
      </c>
      <c r="N8" s="59">
        <v>1036000</v>
      </c>
      <c r="O8" s="53">
        <f>IF(N8=0,"-",(M8-N8)/N8)</f>
        <v>-0.98208916886811626</v>
      </c>
      <c r="P8" s="30">
        <f>6284818.03+H8</f>
        <v>6296190.8300000001</v>
      </c>
      <c r="Q8" s="30">
        <f>8200587.5+I8</f>
        <v>8835555.2419354841</v>
      </c>
      <c r="R8" s="54">
        <f t="shared" si="3"/>
        <v>-0.28740292402712886</v>
      </c>
      <c r="S8" s="55"/>
      <c r="T8" s="55"/>
      <c r="U8" s="56"/>
      <c r="V8" s="57"/>
      <c r="AP8" s="58"/>
    </row>
    <row r="9" spans="1:42" ht="21.75" customHeight="1" thickBot="1" x14ac:dyDescent="0.45">
      <c r="A9" s="1"/>
      <c r="B9" s="73" t="s">
        <v>8</v>
      </c>
      <c r="C9" s="60">
        <f>SUM(C7:C8)</f>
        <v>37740</v>
      </c>
      <c r="D9" s="61">
        <f>SUM(D7:D8)</f>
        <v>44161.290322580644</v>
      </c>
      <c r="E9" s="62">
        <f t="shared" ref="E9" si="4">IF(D9=0,"-",(C9-D9)/D9)</f>
        <v>-0.14540540540540539</v>
      </c>
      <c r="F9" s="63">
        <f>SUM(F7:F8)</f>
        <v>33485</v>
      </c>
      <c r="G9" s="64">
        <f t="shared" ref="G9" si="5">IF(F9=0,"-",(C9-F9)/F9)</f>
        <v>0.1270718232044199</v>
      </c>
      <c r="H9" s="65">
        <f>SUM(H7:H8)</f>
        <v>383888.8</v>
      </c>
      <c r="I9" s="66">
        <f>SUM(I7:I8)</f>
        <v>839064.51612903213</v>
      </c>
      <c r="J9" s="64">
        <f t="shared" si="0"/>
        <v>-0.54247999692437809</v>
      </c>
      <c r="K9" s="67">
        <f>SUM(K7:K8)</f>
        <v>2205844.5</v>
      </c>
      <c r="L9" s="68">
        <f t="shared" si="1"/>
        <v>-0.82596742426766712</v>
      </c>
      <c r="M9" s="69">
        <f>SUM(M7:M8)</f>
        <v>626344.88421052624</v>
      </c>
      <c r="N9" s="70">
        <f>SUM(N7:N8)</f>
        <v>1369000</v>
      </c>
      <c r="O9" s="71">
        <f t="shared" si="2"/>
        <v>-0.5424799969243782</v>
      </c>
      <c r="P9" s="61">
        <f>SUM(P7:P8)</f>
        <v>15037707.83</v>
      </c>
      <c r="Q9" s="61">
        <f>SUM(Q7:Q8)</f>
        <v>12547178.016129032</v>
      </c>
      <c r="R9" s="72">
        <f t="shared" si="3"/>
        <v>0.19849322378860529</v>
      </c>
      <c r="S9" s="12"/>
      <c r="T9" s="55"/>
      <c r="U9" s="56"/>
      <c r="V9" s="57"/>
      <c r="AP9" s="58"/>
    </row>
    <row r="12" spans="1:42" x14ac:dyDescent="0.4">
      <c r="C12" s="76"/>
    </row>
    <row r="14" spans="1:42" x14ac:dyDescent="0.4">
      <c r="D14" s="76"/>
    </row>
  </sheetData>
  <conditionalFormatting sqref="E6">
    <cfRule type="iconSet" priority="2">
      <iconSet iconSet="3Arrows">
        <cfvo type="percent" val="0"/>
        <cfvo type="num" val="0"/>
        <cfvo type="num" val="0"/>
      </iconSet>
    </cfRule>
  </conditionalFormatting>
  <conditionalFormatting sqref="G6">
    <cfRule type="iconSet" priority="3">
      <iconSet iconSet="3Arrows">
        <cfvo type="percent" val="0"/>
        <cfvo type="num" val="0"/>
        <cfvo type="num" val="0"/>
      </iconSet>
    </cfRule>
  </conditionalFormatting>
  <conditionalFormatting sqref="J6">
    <cfRule type="iconSet" priority="8">
      <iconSet iconSet="3Arrows">
        <cfvo type="percent" val="0"/>
        <cfvo type="num" val="0"/>
        <cfvo type="num" val="0"/>
      </iconSet>
    </cfRule>
  </conditionalFormatting>
  <conditionalFormatting sqref="L6">
    <cfRule type="iconSet" priority="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0">
      <iconSet iconSet="3Arrows">
        <cfvo type="percent" val="0"/>
        <cfvo type="num" val="0"/>
        <cfvo type="num" val="0"/>
      </iconSet>
    </cfRule>
  </conditionalFormatting>
  <conditionalFormatting sqref="R6">
    <cfRule type="iconSet" priority="5">
      <iconSet iconSet="3Arrows">
        <cfvo type="percent" val="0"/>
        <cfvo type="num" val="0"/>
        <cfvo type="num" val="0"/>
      </iconSet>
    </cfRule>
  </conditionalFormatting>
  <conditionalFormatting sqref="R9">
    <cfRule type="iconSet" priority="1">
      <iconSet iconSet="3Arrows">
        <cfvo type="percent" val="0"/>
        <cfvo type="num" val="0"/>
        <cfvo type="num" val="0"/>
      </iconSet>
    </cfRule>
  </conditionalFormatting>
  <conditionalFormatting sqref="E7:E9">
    <cfRule type="iconSet" priority="12">
      <iconSet iconSet="3Arrows">
        <cfvo type="percent" val="0"/>
        <cfvo type="num" val="0"/>
        <cfvo type="num" val="0"/>
      </iconSet>
    </cfRule>
  </conditionalFormatting>
  <conditionalFormatting sqref="G7:G9">
    <cfRule type="iconSet" priority="13">
      <iconSet iconSet="3Arrows">
        <cfvo type="percent" val="0"/>
        <cfvo type="num" val="0"/>
        <cfvo type="num" val="0"/>
      </iconSet>
    </cfRule>
  </conditionalFormatting>
  <conditionalFormatting sqref="J7:J9">
    <cfRule type="iconSet" priority="15">
      <iconSet iconSet="3Arrows">
        <cfvo type="percent" val="0"/>
        <cfvo type="num" val="0"/>
        <cfvo type="num" val="0"/>
      </iconSet>
    </cfRule>
  </conditionalFormatting>
  <conditionalFormatting sqref="L7:L9">
    <cfRule type="iconSet" priority="16">
      <iconSet iconSet="3Arrows">
        <cfvo type="percent" val="0"/>
        <cfvo type="num" val="0"/>
        <cfvo type="num" val="0"/>
      </iconSet>
    </cfRule>
  </conditionalFormatting>
  <conditionalFormatting sqref="O7:O9">
    <cfRule type="iconSet" priority="17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8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9F1772B8-07B4-4ABE-9EAD-B3424629A74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G6</xm:sqref>
        </x14:conditionalFormatting>
        <x14:conditionalFormatting xmlns:xm="http://schemas.microsoft.com/office/excel/2006/main">
          <x14:cfRule type="iconSet" priority="9" id="{FA291505-9DEA-4CEC-97D3-C9311742133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J6</xm:sqref>
        </x14:conditionalFormatting>
        <x14:conditionalFormatting xmlns:xm="http://schemas.microsoft.com/office/excel/2006/main">
          <x14:cfRule type="iconSet" priority="7" id="{B5469CC9-0AE4-425A-826F-CD54EB32E0A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L6</xm:sqref>
        </x14:conditionalFormatting>
        <x14:conditionalFormatting xmlns:xm="http://schemas.microsoft.com/office/excel/2006/main">
          <x14:cfRule type="iconSet" priority="11" id="{83DCEB5F-D22E-4BEE-87A3-73774C175F9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O6</xm:sqref>
        </x14:conditionalFormatting>
        <x14:conditionalFormatting xmlns:xm="http://schemas.microsoft.com/office/excel/2006/main">
          <x14:cfRule type="iconSet" priority="14" id="{A30155A3-3C1A-430F-86D4-23ED2534B13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G7:G9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 Aug 2025  USD</vt:lpstr>
      <vt:lpstr>19 Aug 2025 ZiG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Ignatius Chitekedza</dc:creator>
  <cp:lastModifiedBy>Kelvin T. Mudzimuirema</cp:lastModifiedBy>
  <dcterms:created xsi:type="dcterms:W3CDTF">2024-01-29T08:26:57Z</dcterms:created>
  <dcterms:modified xsi:type="dcterms:W3CDTF">2025-08-20T04:36:37Z</dcterms:modified>
</cp:coreProperties>
</file>