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-* #,##0.00_-;\-* #,##0.00_-;_-* &quot;-&quot;??_-;_-@_-"/>
    <numFmt numFmtId="166" formatCode="_ * #,##0.00_ ;_ * \-#,##0.00_ ;_ * &quot;-&quot;??_ ;_ @_ 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Calibri"/>
      <family val="2"/>
      <b val="1"/>
      <sz val="16"/>
      <scheme val="minor"/>
    </font>
    <font>
      <name val="Calibri"/>
      <family val="2"/>
      <color rgb="FF000000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0"/>
      <sz val="16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1" fillId="0" borderId="0"/>
    <xf numFmtId="165" fontId="1" fillId="0" borderId="0"/>
    <xf numFmtId="9" fontId="1" fillId="0" borderId="0"/>
    <xf numFmtId="166" fontId="1" fillId="0" borderId="0"/>
  </cellStyleXfs>
  <cellXfs count="122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9" fontId="2" fillId="2" borderId="0" pivotButton="0" quotePrefix="0" xfId="2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0" fontId="3" fillId="2" borderId="0" pivotButton="0" quotePrefix="0" xfId="0"/>
    <xf numFmtId="164" fontId="3" fillId="2" borderId="0" pivotButton="0" quotePrefix="0" xfId="0"/>
    <xf numFmtId="165" fontId="3" fillId="2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/>
    </xf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164" fontId="3" fillId="5" borderId="12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0" fontId="5" fillId="6" borderId="14" applyAlignment="1" pivotButton="0" quotePrefix="0" xfId="0">
      <alignment vertical="center"/>
    </xf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9" fontId="2" fillId="5" borderId="12" applyAlignment="1" pivotButton="0" quotePrefix="0" xfId="2">
      <alignment horizontal="center" vertical="center"/>
    </xf>
    <xf numFmtId="9" fontId="2" fillId="5" borderId="17" applyAlignment="1" pivotButton="0" quotePrefix="0" xfId="2">
      <alignment horizontal="center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9" fontId="2" fillId="5" borderId="19" applyAlignment="1" pivotButton="0" quotePrefix="0" xfId="2">
      <alignment horizontal="center" vertical="center"/>
    </xf>
    <xf numFmtId="9" fontId="2" fillId="5" borderId="13" applyAlignment="1" pivotButton="0" quotePrefix="0" xfId="2">
      <alignment horizontal="center" vertical="center"/>
    </xf>
    <xf numFmtId="164" fontId="3" fillId="5" borderId="19" applyAlignment="1" pivotButton="0" quotePrefix="0" xfId="1">
      <alignment horizontal="right" vertical="center"/>
    </xf>
    <xf numFmtId="9" fontId="2" fillId="5" borderId="18" applyAlignment="1" pivotButton="0" quotePrefix="0" xfId="2">
      <alignment horizontal="center" vertical="center"/>
    </xf>
    <xf numFmtId="9" fontId="2" fillId="5" borderId="20" applyAlignment="1" pivotButton="0" quotePrefix="0" xfId="2">
      <alignment horizontal="center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22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9" fontId="2" fillId="3" borderId="0" applyAlignment="1" pivotButton="0" quotePrefix="0" xfId="2">
      <alignment horizontal="center" vertical="center"/>
    </xf>
    <xf numFmtId="164" fontId="5" fillId="3" borderId="25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9" fontId="8" fillId="3" borderId="23" applyAlignment="1" pivotButton="0" quotePrefix="0" xfId="0">
      <alignment horizontal="center" vertical="center"/>
    </xf>
    <xf numFmtId="9" fontId="8" fillId="3" borderId="27" applyAlignment="1" pivotButton="0" quotePrefix="0" xfId="0">
      <alignment horizontal="center" vertical="center"/>
    </xf>
    <xf numFmtId="165" fontId="5" fillId="3" borderId="0" pivotButton="0" quotePrefix="0" xfId="0"/>
    <xf numFmtId="164" fontId="8" fillId="0" borderId="23" applyAlignment="1" pivotButton="0" quotePrefix="0" xfId="1">
      <alignment horizontal="right" vertical="center"/>
    </xf>
    <xf numFmtId="9" fontId="8" fillId="3" borderId="24" applyAlignment="1" pivotButton="0" quotePrefix="0" xfId="0">
      <alignment horizontal="center" vertical="center"/>
    </xf>
    <xf numFmtId="9" fontId="8" fillId="3" borderId="8" applyAlignment="1" pivotButton="0" quotePrefix="0" xfId="0">
      <alignment horizontal="center" vertical="center"/>
    </xf>
    <xf numFmtId="9" fontId="8" fillId="3" borderId="0" applyAlignment="1" pivotButton="0" quotePrefix="0" xfId="0">
      <alignment horizontal="center" vertical="center"/>
    </xf>
    <xf numFmtId="0" fontId="8" fillId="0" borderId="14" applyAlignment="1" pivotButton="0" quotePrefix="0" xfId="0">
      <alignment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9" fontId="9" fillId="0" borderId="24" applyAlignment="1" pivotButton="0" quotePrefix="0" xfId="2">
      <alignment horizontal="center" vertical="center"/>
    </xf>
    <xf numFmtId="164" fontId="4" fillId="0" borderId="26" applyAlignment="1" pivotButton="0" quotePrefix="0" xfId="1">
      <alignment horizontal="right" vertical="center"/>
    </xf>
    <xf numFmtId="9" fontId="9" fillId="0" borderId="8" applyAlignment="1" pivotButton="0" quotePrefix="0" xfId="2">
      <alignment horizontal="center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9" fontId="9" fillId="0" borderId="0" applyAlignment="1" pivotButton="0" quotePrefix="0" xfId="2">
      <alignment horizontal="center" vertical="center"/>
    </xf>
    <xf numFmtId="164" fontId="9" fillId="0" borderId="25" applyAlignment="1" pivotButton="0" quotePrefix="0" xfId="1">
      <alignment horizontal="right" vertical="center"/>
    </xf>
    <xf numFmtId="9" fontId="9" fillId="0" borderId="23" applyAlignment="1" pivotButton="0" quotePrefix="0" xfId="2">
      <alignment horizontal="center" vertical="center"/>
    </xf>
    <xf numFmtId="164" fontId="9" fillId="0" borderId="26" applyAlignment="1" pivotButton="0" quotePrefix="0" xfId="1">
      <alignment horizontal="right" vertical="center"/>
    </xf>
    <xf numFmtId="9" fontId="9" fillId="0" borderId="27" applyAlignment="1" pivotButton="0" quotePrefix="0" xfId="2">
      <alignment horizontal="center" vertical="center"/>
    </xf>
    <xf numFmtId="0" fontId="8" fillId="3" borderId="28" applyAlignment="1" pivotButton="0" quotePrefix="0" xfId="0">
      <alignment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0" fontId="5" fillId="3" borderId="29" pivotButton="0" quotePrefix="0" xfId="0"/>
    <xf numFmtId="9" fontId="2" fillId="3" borderId="30" applyAlignment="1" pivotButton="0" quotePrefix="0" xfId="2">
      <alignment horizontal="center" vertical="center"/>
    </xf>
    <xf numFmtId="9" fontId="2" fillId="3" borderId="31" applyAlignment="1" pivotButton="0" quotePrefix="0" xfId="2">
      <alignment horizontal="center" vertical="center"/>
    </xf>
    <xf numFmtId="9" fontId="9" fillId="0" borderId="29" applyAlignment="1" pivotButton="0" quotePrefix="0" xfId="2">
      <alignment horizontal="center" vertical="center"/>
    </xf>
    <xf numFmtId="0" fontId="5" fillId="0" borderId="29" pivotButton="0" quotePrefix="0" xfId="0"/>
    <xf numFmtId="164" fontId="9" fillId="0" borderId="32" applyAlignment="1" pivotButton="0" quotePrefix="0" xfId="1">
      <alignment horizontal="right" vertical="center"/>
    </xf>
    <xf numFmtId="0" fontId="5" fillId="3" borderId="33" pivotButton="0" quotePrefix="0" xfId="0"/>
    <xf numFmtId="164" fontId="8" fillId="3" borderId="0" pivotButton="0" quotePrefix="0" xfId="0"/>
    <xf numFmtId="9" fontId="9" fillId="3" borderId="0" applyAlignment="1" pivotButton="0" quotePrefix="0" xfId="2">
      <alignment horizontal="center" vertical="center"/>
    </xf>
    <xf numFmtId="2" fontId="9" fillId="3" borderId="0" pivotButton="0" quotePrefix="0" xfId="0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164" fontId="3" fillId="2" borderId="0" pivotButton="0" quotePrefix="0" xfId="0"/>
    <xf numFmtId="165" fontId="3" fillId="2" borderId="0" pivotButton="0" quotePrefix="0" xfId="0"/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164" fontId="4" fillId="0" borderId="26" applyAlignment="1" pivotButton="0" quotePrefix="0" xfId="1">
      <alignment horizontal="right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164" fontId="8" fillId="0" borderId="23" applyAlignment="1" pivotButton="0" quotePrefix="0" xfId="1">
      <alignment horizontal="right" vertical="center"/>
    </xf>
    <xf numFmtId="164" fontId="9" fillId="0" borderId="25" applyAlignment="1" pivotButton="0" quotePrefix="0" xfId="1">
      <alignment horizontal="right" vertical="center"/>
    </xf>
    <xf numFmtId="164" fontId="9" fillId="0" borderId="26" applyAlignment="1" pivotButton="0" quotePrefix="0" xfId="1">
      <alignment horizontal="right" vertical="center"/>
    </xf>
    <xf numFmtId="165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3" fillId="5" borderId="19" applyAlignment="1" pivotButton="0" quotePrefix="0" xfId="1">
      <alignment horizontal="right" vertical="center"/>
    </xf>
    <xf numFmtId="164" fontId="3" fillId="5" borderId="12" applyAlignment="1" pivotButton="0" quotePrefix="0" xfId="1">
      <alignment horizontal="right" vertical="center"/>
    </xf>
    <xf numFmtId="164" fontId="3" fillId="5" borderId="22" applyAlignment="1" pivotButton="0" quotePrefix="0" xfId="1">
      <alignment horizontal="right"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164" fontId="5" fillId="3" borderId="25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164" fontId="5" fillId="3" borderId="0" pivotButton="0" quotePrefix="0" xfId="0"/>
    <xf numFmtId="164" fontId="9" fillId="0" borderId="32" applyAlignment="1" pivotButton="0" quotePrefix="0" xfId="1">
      <alignment horizontal="right" vertical="center"/>
    </xf>
    <xf numFmtId="164" fontId="8" fillId="3" borderId="0" pivotButton="0" quotePrefix="0" xfId="0"/>
  </cellXfs>
  <cellStyles count="4">
    <cellStyle name="Normal" xfId="0" builtinId="0"/>
    <cellStyle name="Comma" xfId="1" builtinId="3"/>
    <cellStyle name="Percent" xfId="2" builtinId="5"/>
    <cellStyle name="Comma 46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6" name="Picture 5"/>
        <cNvPicPr>
          <a:picLocks noChangeAspect="1"/>
        </cNvPicPr>
      </nvPicPr>
      <blipFill>
        <a:blip cstate="print" r:embed="rId5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7" name="Picture 6"/>
        <cNvPicPr>
          <a:picLocks noChangeAspect="1"/>
        </cNvPicPr>
      </nvPicPr>
      <blipFill>
        <a:blip cstate="print" r:embed="rId6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8" name="Picture 7"/>
        <cNvPicPr>
          <a:picLocks noChangeAspect="1"/>
        </cNvPicPr>
      </nvPicPr>
      <blipFill>
        <a:blip cstate="print" r:embed="rId7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9" name="Picture 8"/>
        <cNvPicPr>
          <a:picLocks noChangeAspect="1"/>
        </cNvPicPr>
      </nvPicPr>
      <blipFill>
        <a:blip cstate="print" r:embed="rId8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tabSelected="1" zoomScale="70" zoomScaleNormal="70" workbookViewId="0">
      <selection activeCell="D7" sqref="D7"/>
    </sheetView>
  </sheetViews>
  <sheetFormatPr baseColWidth="8" defaultColWidth="10.109375" defaultRowHeight="21"/>
  <cols>
    <col width="5.88671875" customWidth="1" style="2" min="1" max="1"/>
    <col width="46.88671875" customWidth="1" style="2" min="2" max="2"/>
    <col width="19.33203125" customWidth="1" style="2" min="3" max="3"/>
    <col width="21.33203125" customWidth="1" style="2" min="4" max="4"/>
    <col width="16.5546875" customWidth="1" style="2" min="5" max="5"/>
    <col width="17.5546875" customWidth="1" style="2" min="6" max="6"/>
    <col width="17.664062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88671875" bestFit="1" customWidth="1" style="2" min="14" max="14"/>
    <col width="19.554687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85" t="n"/>
      <c r="I2" s="85" t="n"/>
      <c r="J2" s="86" t="n"/>
      <c r="K2" s="86" t="n"/>
      <c r="L2" s="86" t="n"/>
      <c r="M2" s="86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7" t="n"/>
      <c r="D3" s="9" t="n"/>
      <c r="E3" s="1" t="n"/>
      <c r="F3" s="88" t="n"/>
      <c r="G3" s="85" t="n"/>
      <c r="H3" s="89" t="n"/>
      <c r="I3" s="88" t="n"/>
      <c r="J3" s="9" t="n"/>
      <c r="K3" s="9" t="n"/>
      <c r="L3" s="9" t="n"/>
      <c r="M3" s="9" t="n"/>
      <c r="N3" s="9" t="n"/>
      <c r="O3" s="9" t="n"/>
      <c r="P3" s="89" t="n"/>
      <c r="Q3" s="9" t="n"/>
      <c r="R3" s="9" t="n"/>
      <c r="S3" s="12" t="n"/>
      <c r="T3" s="12" t="n"/>
    </row>
    <row r="4" ht="77.40000000000001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FY26 Budget</t>
        </is>
      </c>
      <c r="J4" s="16" t="inlineStr">
        <is>
          <t>% Budget Variance</t>
        </is>
      </c>
      <c r="K4" s="15" t="inlineStr">
        <is>
          <t>Prior Month  MTD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Budget FY26</t>
        </is>
      </c>
      <c r="O4" s="14" t="inlineStr">
        <is>
          <t>Run rate % Variance</t>
        </is>
      </c>
      <c r="P4" s="15" t="inlineStr">
        <is>
          <t>YTD Actual /Cummulative FY25</t>
        </is>
      </c>
      <c r="Q4" s="15" t="inlineStr">
        <is>
          <t>YTD Budget /Cummulative FY25</t>
        </is>
      </c>
      <c r="R4" s="17" t="inlineStr">
        <is>
          <t>FY25 %Budget Variance</t>
        </is>
      </c>
      <c r="S4" s="12" t="n"/>
      <c r="T4" s="12" t="n"/>
    </row>
    <row r="5">
      <c r="A5" s="1" t="n"/>
      <c r="B5" s="18" t="n"/>
      <c r="C5" s="90" t="n"/>
      <c r="D5" s="91" t="n"/>
      <c r="E5" s="21" t="n"/>
      <c r="F5" s="91" t="n"/>
      <c r="G5" s="22" t="n"/>
      <c r="H5" s="90" t="n"/>
      <c r="I5" s="91" t="n"/>
      <c r="J5" s="22" t="n"/>
      <c r="K5" s="91" t="n"/>
      <c r="L5" s="22" t="n"/>
      <c r="M5" s="23" t="n"/>
      <c r="N5" s="24" t="n"/>
      <c r="O5" s="25" t="n"/>
      <c r="P5" s="91" t="n"/>
      <c r="Q5" s="91" t="n"/>
      <c r="R5" s="26" t="n"/>
      <c r="S5" s="12" t="n"/>
      <c r="T5" s="12" t="n"/>
    </row>
    <row r="6" ht="24.75" customHeight="1" thickBot="1">
      <c r="A6" s="1" t="n"/>
      <c r="B6" s="56" t="inlineStr">
        <is>
          <t>Akello</t>
        </is>
      </c>
      <c r="C6" s="92" t="n"/>
      <c r="D6" s="93" t="n"/>
      <c r="E6" s="59" t="n"/>
      <c r="F6" s="94" t="n"/>
      <c r="G6" s="61" t="n"/>
      <c r="H6" s="95" t="n"/>
      <c r="I6" s="96" t="n"/>
      <c r="J6" s="61" t="n"/>
      <c r="K6" s="97" t="n"/>
      <c r="L6" s="65" t="n"/>
      <c r="M6" s="98" t="n"/>
      <c r="N6" s="99" t="n"/>
      <c r="O6" s="67" t="n"/>
      <c r="P6" s="94" t="n"/>
      <c r="Q6" s="100" t="n"/>
      <c r="R6" s="69" t="n"/>
      <c r="S6" s="12" t="n"/>
      <c r="T6" s="101" t="n"/>
      <c r="U6" s="102" t="n"/>
      <c r="V6" s="103" t="n"/>
    </row>
    <row r="7" ht="24.75" customHeight="1" thickBot="1">
      <c r="A7" s="1" t="n"/>
      <c r="B7" s="29" t="inlineStr">
        <is>
          <t>Smart learning</t>
        </is>
      </c>
      <c r="C7" s="104" t="n">
        <v>3335</v>
      </c>
      <c r="D7" s="105">
        <f>N7/31</f>
        <v/>
      </c>
      <c r="E7" s="32">
        <f>IF(D7=0,"-",(C7-D7)/D7)</f>
        <v/>
      </c>
      <c r="F7" s="104" t="n">
        <v>1020</v>
      </c>
      <c r="G7" s="33">
        <f>IF(F7=0,"-",(C7-F7)/F7)</f>
        <v/>
      </c>
      <c r="H7" s="106">
        <f>2891+1031+904+1020+3336+3335</f>
        <v/>
      </c>
      <c r="I7" s="107">
        <f>D7*20</f>
        <v/>
      </c>
      <c r="J7" s="36">
        <f>IF(I7=0,"-",(H7-I7)/I7)</f>
        <v/>
      </c>
      <c r="K7" s="106" t="n">
        <v>37649</v>
      </c>
      <c r="L7" s="37">
        <f>IF(K7=0,"-",(H7-K7)/K7)</f>
        <v/>
      </c>
      <c r="M7" s="108">
        <f>(H7*31)/21</f>
        <v/>
      </c>
      <c r="N7" s="109" t="n">
        <v>9000</v>
      </c>
      <c r="O7" s="39">
        <f>IF(N7=0,"-",(M7-N7)/N7)</f>
        <v/>
      </c>
      <c r="P7" s="110">
        <f>227326+H7</f>
        <v/>
      </c>
      <c r="Q7" s="110">
        <f>94298+I7</f>
        <v/>
      </c>
      <c r="R7" s="40">
        <f>IF(Q7=0,"-",(P7-Q7)/Q7)</f>
        <v/>
      </c>
      <c r="S7" s="12" t="n"/>
      <c r="T7" s="101" t="n"/>
      <c r="U7" s="102" t="n"/>
      <c r="V7" s="103" t="n"/>
    </row>
    <row r="8" ht="22.5" customHeight="1">
      <c r="A8" s="1" t="n"/>
      <c r="B8" s="29" t="inlineStr">
        <is>
          <t>Library</t>
        </is>
      </c>
      <c r="C8" s="104" t="n">
        <v>0</v>
      </c>
      <c r="D8" s="105">
        <f>N8/31</f>
        <v/>
      </c>
      <c r="E8" s="32">
        <f>IF(D8=0,"-",(C8-D8)/D8)</f>
        <v/>
      </c>
      <c r="F8" s="104" t="n">
        <v>1</v>
      </c>
      <c r="G8" s="33">
        <f>IF(F8=0,"-",(C8-F8)/F8)</f>
        <v/>
      </c>
      <c r="H8" s="104">
        <f>25+3+1</f>
        <v/>
      </c>
      <c r="I8" s="107">
        <f>D8*20</f>
        <v/>
      </c>
      <c r="J8" s="36">
        <f>IF(I8=0,"-",(H8-I8)/I8)</f>
        <v/>
      </c>
      <c r="K8" s="104" t="n">
        <v>4054</v>
      </c>
      <c r="L8" s="37">
        <f>IF(K8=0,"-",(H8-K8)/K8)</f>
        <v/>
      </c>
      <c r="M8" s="108">
        <f>(H8*31)/20</f>
        <v/>
      </c>
      <c r="N8" s="111" t="n">
        <v>8000</v>
      </c>
      <c r="O8" s="39">
        <f>IF(N8=0,"-",(M8-N8)/N8)</f>
        <v/>
      </c>
      <c r="P8" s="110">
        <f>41631+H8</f>
        <v/>
      </c>
      <c r="Q8" s="110">
        <f>62777+I8</f>
        <v/>
      </c>
      <c r="R8" s="40">
        <f>IF(Q8=0,"-",(P8-Q8)/Q8)</f>
        <v/>
      </c>
      <c r="S8" s="12" t="n"/>
      <c r="T8" s="101" t="n"/>
      <c r="U8" s="102" t="n"/>
      <c r="V8" s="103" t="n"/>
    </row>
    <row r="9" ht="21" customHeight="1" thickBot="1">
      <c r="A9" s="1" t="n"/>
      <c r="B9" s="70" t="n"/>
      <c r="C9" s="90" t="n"/>
      <c r="D9" s="112" t="n"/>
      <c r="E9" s="53" t="n"/>
      <c r="F9" s="91" t="n"/>
      <c r="G9" s="54" t="n"/>
      <c r="H9" s="113" t="n"/>
      <c r="I9" s="114" t="n"/>
      <c r="J9" s="54" t="n"/>
      <c r="K9" s="113" t="n">
        <v>0</v>
      </c>
      <c r="L9" s="53" t="n"/>
      <c r="M9" s="115" t="n"/>
      <c r="N9" s="116" t="n"/>
      <c r="O9" s="49" t="n"/>
      <c r="P9" s="117" t="n"/>
      <c r="Q9" s="118" t="n"/>
      <c r="R9" s="50" t="n"/>
      <c r="S9" s="12" t="n"/>
      <c r="T9" s="119" t="n"/>
      <c r="U9" s="102" t="n"/>
      <c r="V9" s="103" t="n"/>
    </row>
    <row r="10" ht="2.25" customHeight="1" thickBot="1">
      <c r="A10" s="1" t="n"/>
      <c r="B10" s="75" t="n"/>
      <c r="C10" s="75" t="n"/>
      <c r="D10" s="75" t="n"/>
      <c r="E10" s="76" t="n"/>
      <c r="F10" s="75" t="n"/>
      <c r="G10" s="77" t="n"/>
      <c r="H10" s="75" t="n"/>
      <c r="I10" s="75" t="n"/>
      <c r="J10" s="78">
        <f>IF(I10=0,"-",(H10-I10)/I10)</f>
        <v/>
      </c>
      <c r="K10" s="79" t="n"/>
      <c r="L10" s="75" t="n"/>
      <c r="M10" s="120" t="n"/>
      <c r="N10" s="75" t="n"/>
      <c r="O10" s="75" t="n"/>
      <c r="P10" s="75" t="n"/>
      <c r="Q10" s="75" t="n"/>
      <c r="R10" s="81" t="n"/>
      <c r="S10" s="12" t="n"/>
      <c r="T10" s="12" t="n"/>
      <c r="U10" s="102">
        <f>T10+2*D10</f>
        <v/>
      </c>
    </row>
    <row r="11">
      <c r="B11" s="12" t="n"/>
      <c r="C11" s="12" t="n"/>
      <c r="D11" s="101" t="n"/>
      <c r="E11" s="46" t="n"/>
      <c r="F11" s="119" t="n"/>
      <c r="G11" s="46" t="n"/>
      <c r="H11" s="12" t="n"/>
      <c r="I11" s="101" t="n"/>
      <c r="J11" s="119" t="n"/>
      <c r="K11" s="12" t="n"/>
      <c r="L11" s="12" t="n"/>
      <c r="M11" s="101" t="n"/>
      <c r="N11" s="101" t="n"/>
      <c r="O11" s="12" t="n"/>
      <c r="P11" s="12" t="n"/>
      <c r="Q11" s="12" t="n"/>
      <c r="R11" s="12" t="n"/>
      <c r="S11" s="12" t="n"/>
      <c r="T11" s="12" t="n"/>
    </row>
    <row r="12">
      <c r="E12" s="55" t="n"/>
      <c r="G12" s="55" t="n"/>
      <c r="H12" s="101" t="n"/>
      <c r="I12" s="121" t="n"/>
      <c r="J12" s="84" t="n"/>
      <c r="Q12" s="103" t="n"/>
    </row>
    <row r="13">
      <c r="E13" s="83" t="n"/>
      <c r="G13" s="46" t="n"/>
      <c r="H13" s="101" t="n"/>
      <c r="I13" s="101" t="n"/>
      <c r="Q13" s="103" t="n"/>
    </row>
    <row r="14">
      <c r="E14" s="55" t="n"/>
      <c r="G14" s="55" t="n"/>
      <c r="H14" s="101" t="n"/>
      <c r="I14" s="101" t="n"/>
    </row>
    <row r="15">
      <c r="E15" s="83" t="n"/>
      <c r="G15" s="83" t="n"/>
      <c r="H15" s="101" t="n"/>
    </row>
    <row r="16">
      <c r="H16" s="102" t="n"/>
    </row>
  </sheetData>
  <conditionalFormatting sqref="E13">
    <cfRule type="iconSet" priority="169">
      <iconSet iconSet="3Arrows">
        <cfvo type="percent" val="0"/>
        <cfvo type="num" val="0"/>
        <cfvo type="num" val="0"/>
      </iconSet>
    </cfRule>
  </conditionalFormatting>
  <conditionalFormatting sqref="E15">
    <cfRule type="iconSet" priority="168">
      <iconSet iconSet="3Arrows">
        <cfvo type="percent" val="0"/>
        <cfvo type="num" val="0"/>
        <cfvo type="num" val="0"/>
      </iconSet>
    </cfRule>
  </conditionalFormatting>
  <conditionalFormatting sqref="G15">
    <cfRule type="iconSet" priority="161">
      <iconSet iconSet="3Arrows">
        <cfvo type="percent" val="0"/>
        <cfvo type="num" val="0"/>
        <cfvo type="num" val="0"/>
      </iconSet>
    </cfRule>
  </conditionalFormatting>
  <conditionalFormatting sqref="G13">
    <cfRule type="iconSet" priority="163">
      <iconSet iconSet="3Arrows">
        <cfvo type="percent" val="0"/>
        <cfvo type="num" val="0"/>
        <cfvo type="num" val="0"/>
      </iconSet>
    </cfRule>
  </conditionalFormatting>
  <conditionalFormatting sqref="J10">
    <cfRule type="iconSet" priority="150">
      <iconSet iconSet="3Arrows">
        <cfvo type="percent" val="0"/>
        <cfvo type="num" val="0"/>
        <cfvo type="num" val="0"/>
      </iconSet>
    </cfRule>
  </conditionalFormatting>
  <conditionalFormatting sqref="E10">
    <cfRule type="iconSet" priority="143">
      <iconSet iconSet="3Arrows">
        <cfvo type="percent" val="0"/>
        <cfvo type="num" val="0"/>
        <cfvo type="num" val="0"/>
      </iconSet>
    </cfRule>
  </conditionalFormatting>
  <conditionalFormatting sqref="J7:J8">
    <cfRule type="iconSet" priority="84">
      <iconSet iconSet="3Arrows">
        <cfvo type="percent" val="0"/>
        <cfvo type="num" val="0"/>
        <cfvo type="num" val="0"/>
      </iconSet>
    </cfRule>
  </conditionalFormatting>
  <conditionalFormatting sqref="O7:O8">
    <cfRule type="iconSet" priority="39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16">
      <iconSet iconSet="3Arrows">
        <cfvo type="percent" val="0"/>
        <cfvo type="num" val="0"/>
        <cfvo type="num" val="0"/>
      </iconSet>
    </cfRule>
  </conditionalFormatting>
  <conditionalFormatting sqref="E6">
    <cfRule type="iconSet" priority="193">
      <iconSet iconSet="3Arrows">
        <cfvo type="percent" val="0"/>
        <cfvo type="num" val="0"/>
        <cfvo type="num" val="0"/>
      </iconSet>
    </cfRule>
  </conditionalFormatting>
  <conditionalFormatting sqref="G6">
    <cfRule type="iconSet" priority="194">
      <iconSet iconSet="3Arrows">
        <cfvo type="percent" val="0"/>
        <cfvo type="num" val="0"/>
        <cfvo type="num" val="0"/>
      </iconSet>
    </cfRule>
  </conditionalFormatting>
  <conditionalFormatting sqref="J6">
    <cfRule type="iconSet" priority="195">
      <iconSet iconSet="3Arrows">
        <cfvo type="percent" val="0"/>
        <cfvo type="num" val="0"/>
        <cfvo type="num" val="0"/>
      </iconSet>
    </cfRule>
  </conditionalFormatting>
  <conditionalFormatting sqref="L6">
    <cfRule type="iconSet" priority="196">
      <iconSet iconSet="3Arrows">
        <cfvo type="percent" val="0"/>
        <cfvo type="num" val="0"/>
        <cfvo type="num" val="0"/>
      </iconSet>
    </cfRule>
  </conditionalFormatting>
  <conditionalFormatting sqref="O6">
    <cfRule type="iconSet" priority="197">
      <iconSet iconSet="3Arrows">
        <cfvo type="percent" val="0"/>
        <cfvo type="num" val="0"/>
        <cfvo type="num" val="0"/>
      </iconSet>
    </cfRule>
  </conditionalFormatting>
  <conditionalFormatting sqref="R6">
    <cfRule type="iconSet" priority="198">
      <iconSet iconSet="3Arrows">
        <cfvo type="percent" val="0"/>
        <cfvo type="num" val="0"/>
        <cfvo type="num" val="0"/>
      </iconSet>
    </cfRule>
  </conditionalFormatting>
  <conditionalFormatting sqref="E7:E8">
    <cfRule type="iconSet" priority="202">
      <iconSet iconSet="3Arrows">
        <cfvo type="percent" val="0"/>
        <cfvo type="num" val="0"/>
        <cfvo type="num" val="0"/>
      </iconSet>
    </cfRule>
  </conditionalFormatting>
  <conditionalFormatting sqref="G7:G8">
    <cfRule type="iconSet" priority="203">
      <iconSet iconSet="3Arrows">
        <cfvo type="percent" val="0"/>
        <cfvo type="num" val="0"/>
        <cfvo type="num" val="0"/>
      </iconSet>
    </cfRule>
  </conditionalFormatting>
  <conditionalFormatting sqref="L7:L8">
    <cfRule type="iconSet" priority="204">
      <iconSet iconSet="3Arrows">
        <cfvo type="percent" val="0"/>
        <cfvo type="num" val="0"/>
        <cfvo type="num" val="0"/>
      </iconSet>
    </cfRule>
  </conditionalFormatting>
  <conditionalFormatting sqref="E11">
    <cfRule type="iconSet" priority="206">
      <iconSet iconSet="3Arrows">
        <cfvo type="percent" val="0"/>
        <cfvo type="num" val="0"/>
        <cfvo type="num" val="0"/>
      </iconSet>
    </cfRule>
  </conditionalFormatting>
  <conditionalFormatting sqref="G10:G11">
    <cfRule type="iconSet" priority="207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Ignatius Chitekedza</dc:creator>
  <dcterms:created xsi:type="dcterms:W3CDTF">2024-03-04T05:48:00Z</dcterms:created>
  <dcterms:modified xsi:type="dcterms:W3CDTF">2025-08-22T11:52:37Z</dcterms:modified>
  <cp:lastModifiedBy>Kelvin T. Mudzimuirema</cp:lastModifiedBy>
</cp:coreProperties>
</file>