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9 Aug 2025  USD" sheetId="1" state="visible" r:id="rId1"/>
    <sheet name="19 Aug 2025 Z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-* #,##0.00_-;\-* #,##0.00_-;_-* &quot;-&quot;??_-;_-@_-"/>
    <numFmt numFmtId="166" formatCode="_-* #,##0.0_-;\-* #,##0.0_-;_-* &quot;-&quot;??_-;_-@_-"/>
    <numFmt numFmtId="167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7" fontId="1" fillId="0" borderId="0"/>
  </cellStyleXfs>
  <cellXfs count="11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9" fontId="2" fillId="5" borderId="13" applyAlignment="1" pivotButton="0" quotePrefix="0" xfId="2">
      <alignment horizontal="center" vertical="center"/>
    </xf>
    <xf numFmtId="164" fontId="5" fillId="5" borderId="14" applyAlignment="1" pivotButton="0" quotePrefix="0" xfId="1">
      <alignment horizontal="right" vertical="center"/>
    </xf>
    <xf numFmtId="9" fontId="2" fillId="5" borderId="15" applyAlignment="1" pivotButton="0" quotePrefix="0" xfId="2">
      <alignment horizontal="center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9" fontId="2" fillId="5" borderId="17" applyAlignment="1" pivotButton="0" quotePrefix="0" xfId="2">
      <alignment horizontal="center" vertical="center"/>
    </xf>
    <xf numFmtId="9" fontId="2" fillId="5" borderId="18" applyAlignment="1" pivotButton="0" quotePrefix="0" xfId="2">
      <alignment horizontal="center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0" fontId="2" fillId="3" borderId="19" pivotButton="0" quotePrefix="0" xfId="0"/>
    <xf numFmtId="0" fontId="2" fillId="3" borderId="20" pivotButton="0" quotePrefix="0" xfId="0"/>
    <xf numFmtId="0" fontId="5" fillId="6" borderId="21" applyAlignment="1" pivotButton="0" quotePrefix="0" xfId="0">
      <alignment vertical="center"/>
    </xf>
    <xf numFmtId="164" fontId="3" fillId="5" borderId="23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24" applyAlignment="1" pivotButton="0" quotePrefix="0" xfId="2">
      <alignment horizontal="center" vertical="center"/>
    </xf>
    <xf numFmtId="164" fontId="3" fillId="5" borderId="25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26" applyAlignment="1" pivotButton="0" quotePrefix="0" xfId="2">
      <alignment horizontal="center" vertical="center"/>
    </xf>
    <xf numFmtId="9" fontId="2" fillId="5" borderId="16" applyAlignment="1" pivotButton="0" quotePrefix="0" xfId="2">
      <alignment horizontal="center" vertical="center"/>
    </xf>
    <xf numFmtId="164" fontId="3" fillId="5" borderId="26" applyAlignment="1" pivotButton="0" quotePrefix="0" xfId="1">
      <alignment horizontal="right" vertical="center"/>
    </xf>
    <xf numFmtId="9" fontId="2" fillId="5" borderId="25" applyAlignment="1" pivotButton="0" quotePrefix="0" xfId="2">
      <alignment horizontal="center" vertical="center"/>
    </xf>
    <xf numFmtId="9" fontId="2" fillId="5" borderId="27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28" pivotButton="0" quotePrefix="0" xfId="0"/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9" fontId="9" fillId="5" borderId="32" applyAlignment="1" pivotButton="0" quotePrefix="0" xfId="2">
      <alignment horizontal="center" vertical="center"/>
    </xf>
    <xf numFmtId="164" fontId="8" fillId="5" borderId="33" applyAlignment="1" pivotButton="0" quotePrefix="0" xfId="1">
      <alignment vertical="center"/>
    </xf>
    <xf numFmtId="9" fontId="9" fillId="5" borderId="34" applyAlignment="1" pivotButton="0" quotePrefix="0" xfId="2">
      <alignment horizontal="center"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9" fontId="9" fillId="5" borderId="33" applyAlignment="1" pivotButton="0" quotePrefix="0" xfId="2">
      <alignment horizontal="center"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9" fontId="9" fillId="5" borderId="35" applyAlignment="1" pivotButton="0" quotePrefix="0" xfId="2">
      <alignment horizontal="center" vertical="center"/>
    </xf>
    <xf numFmtId="9" fontId="9" fillId="5" borderId="37" applyAlignment="1" pivotButton="0" quotePrefix="0" xfId="2">
      <alignment horizontal="center" vertical="center"/>
    </xf>
    <xf numFmtId="0" fontId="8" fillId="6" borderId="30" applyAlignment="1" pivotButton="0" quotePrefix="0" xfId="0">
      <alignment vertical="center"/>
    </xf>
    <xf numFmtId="166" fontId="3" fillId="5" borderId="22" applyAlignment="1" pivotButton="0" quotePrefix="0" xfId="1">
      <alignment horizontal="right" vertical="center"/>
    </xf>
    <xf numFmtId="165" fontId="3" fillId="5" borderId="22" applyAlignment="1" pivotButton="0" quotePrefix="0" xfId="1">
      <alignment horizontal="right" vertical="center"/>
    </xf>
    <xf numFmtId="4" fontId="2" fillId="3" borderId="0" pivotButton="0" quotePrefix="0" xfId="0"/>
    <xf numFmtId="2" fontId="5" fillId="5" borderId="11" applyAlignment="1" pivotButton="0" quotePrefix="0" xfId="1">
      <alignment horizontal="right" vertical="center"/>
    </xf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4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166" fontId="3" fillId="5" borderId="22" applyAlignment="1" pivotButton="0" quotePrefix="0" xfId="1">
      <alignment horizontal="right" vertical="center"/>
    </xf>
    <xf numFmtId="164" fontId="3" fillId="5" borderId="23" applyAlignment="1" pivotButton="0" quotePrefix="0" xfId="1">
      <alignment horizontal="right" vertical="center"/>
    </xf>
    <xf numFmtId="164" fontId="3" fillId="5" borderId="25" applyAlignment="1" pivotButton="0" quotePrefix="0" xfId="1">
      <alignment horizontal="right" vertical="center"/>
    </xf>
    <xf numFmtId="164" fontId="3" fillId="5" borderId="26" applyAlignment="1" pivotButton="0" quotePrefix="0" xfId="1">
      <alignment horizontal="right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5" fontId="3" fillId="5" borderId="22" applyAlignment="1" pivotButton="0" quotePrefix="0" xfId="1">
      <alignment horizontal="right" vertical="center"/>
    </xf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164" fontId="8" fillId="5" borderId="33" applyAlignment="1" pivotButton="0" quotePrefix="0" xfId="1">
      <alignment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2.55468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FY26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 t="n">
        <v>0</v>
      </c>
      <c r="D7" s="97">
        <f>N7/31</f>
        <v/>
      </c>
      <c r="E7" s="46">
        <f>IF(D7=0,"-",(C7-D7)/D7)</f>
        <v/>
      </c>
      <c r="F7" s="96" t="n">
        <v>904</v>
      </c>
      <c r="G7" s="47">
        <f>IF(F7=0,"-",(C7-F7)/F7)</f>
        <v/>
      </c>
      <c r="H7" s="98">
        <f>1938+808+1067+796+355+1495+288+1031+904+1020</f>
        <v/>
      </c>
      <c r="I7" s="77">
        <f>D7*19</f>
        <v/>
      </c>
      <c r="J7" s="50">
        <f>IF(I7=0,"-",(H7-I7)/I7)</f>
        <v/>
      </c>
      <c r="K7" s="98" t="n">
        <v>37713</v>
      </c>
      <c r="L7" s="51">
        <f>IF(K7=0,"-",(H7-K7)/K7)</f>
        <v/>
      </c>
      <c r="M7" s="91">
        <f>H7*31/19</f>
        <v/>
      </c>
      <c r="N7" s="99" t="n">
        <v>9000</v>
      </c>
      <c r="O7" s="53">
        <f>IF(N7=0,"-",(M7-N7)/N7)</f>
        <v/>
      </c>
      <c r="P7" s="88">
        <f>240459.88+H7</f>
        <v/>
      </c>
      <c r="Q7" s="88">
        <f>116348+I7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N8/31</f>
        <v/>
      </c>
      <c r="E8" s="46">
        <f>IF(D8=0,"-",(C8-D8)/D8)</f>
        <v/>
      </c>
      <c r="F8" s="96" t="n">
        <v>1</v>
      </c>
      <c r="G8" s="47">
        <f>IF(F8=0,"-",(C8-F8)/F8)</f>
        <v/>
      </c>
      <c r="H8" s="103">
        <f>18.44+2.5+228.11+3+11.5+18.5+2.74+12+1</f>
        <v/>
      </c>
      <c r="I8" s="77">
        <f>D8*19</f>
        <v/>
      </c>
      <c r="J8" s="50">
        <f>IF(I8=0,"-",(H8-I8)/I8)</f>
        <v/>
      </c>
      <c r="K8" s="103" t="n">
        <v>21849.89</v>
      </c>
      <c r="L8" s="51">
        <f>IF(K8=0,"-",(H8-K8)/K8)</f>
        <v/>
      </c>
      <c r="M8" s="91">
        <f>H8*31/19</f>
        <v/>
      </c>
      <c r="N8" s="104" t="n">
        <v>28000</v>
      </c>
      <c r="O8" s="53">
        <f>IF(N8=0,"-",(M8-N8)/N8)</f>
        <v/>
      </c>
      <c r="P8" s="88">
        <f>176354.36+H8</f>
        <v/>
      </c>
      <c r="Q8" s="88">
        <f>237868.74+I8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</sheetData>
  <conditionalFormatting sqref="E6">
    <cfRule type="iconSet" priority="134">
      <iconSet iconSet="3Arrows">
        <cfvo type="percent" val="0"/>
        <cfvo type="num" val="0"/>
        <cfvo type="num" val="0"/>
      </iconSet>
    </cfRule>
  </conditionalFormatting>
  <conditionalFormatting sqref="G6">
    <cfRule type="iconSet" priority="135">
      <iconSet iconSet="3Arrows">
        <cfvo type="percent" val="0"/>
        <cfvo type="num" val="0"/>
        <cfvo type="num" val="0"/>
      </iconSet>
    </cfRule>
  </conditionalFormatting>
  <conditionalFormatting sqref="J6">
    <cfRule type="iconSet" priority="141">
      <iconSet iconSet="3Arrows">
        <cfvo type="percent" val="0"/>
        <cfvo type="num" val="0"/>
        <cfvo type="num" val="0"/>
      </iconSet>
    </cfRule>
  </conditionalFormatting>
  <conditionalFormatting sqref="L6">
    <cfRule type="iconSet" priority="138">
      <iconSet iconSet="3Arrows">
        <cfvo type="percent" val="0"/>
        <cfvo type="num" val="0"/>
        <cfvo type="num" val="0"/>
      </iconSet>
    </cfRule>
  </conditionalFormatting>
  <conditionalFormatting sqref="O6">
    <cfRule type="iconSet" priority="160">
      <iconSet iconSet="3Arrows">
        <cfvo type="percent" val="0"/>
        <cfvo type="num" val="0"/>
        <cfvo type="num" val="0"/>
      </iconSet>
    </cfRule>
  </conditionalFormatting>
  <conditionalFormatting sqref="R6">
    <cfRule type="iconSet" priority="137">
      <iconSet iconSet="3Arrows">
        <cfvo type="percent" val="0"/>
        <cfvo type="num" val="0"/>
        <cfvo type="num" val="0"/>
      </iconSet>
    </cfRule>
  </conditionalFormatting>
  <conditionalFormatting sqref="R9">
    <cfRule type="iconSet" priority="12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99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201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20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207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20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21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zoomScale="70" zoomScaleNormal="70" workbookViewId="0">
      <selection activeCell="C7" sqref="C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3.777343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FY25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FY25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>
        <f>1020*37</f>
        <v/>
      </c>
      <c r="D7" s="97">
        <f>(N7/31)</f>
        <v/>
      </c>
      <c r="E7" s="46">
        <f>IF(D7=0,"-",(C7-D7)/D7)</f>
        <v/>
      </c>
      <c r="F7" s="96" t="n">
        <v>33448</v>
      </c>
      <c r="G7" s="47">
        <f>IF(F7=0,"-",(C7-F7)/F7)</f>
        <v/>
      </c>
      <c r="H7" s="98">
        <f>71706+29896+39479+29452+13135+55315+10656+13542+38147+33448+37740</f>
        <v/>
      </c>
      <c r="I7" s="113">
        <f>D7*19</f>
        <v/>
      </c>
      <c r="J7" s="50">
        <f>IF(I7=0,"-",(H7-I7)/I7)</f>
        <v/>
      </c>
      <c r="K7" s="98" t="n">
        <v>1395381</v>
      </c>
      <c r="L7" s="51">
        <f>IF(K7=0,"-",(H7-K7)/K7)</f>
        <v/>
      </c>
      <c r="M7" s="91">
        <f>H7*31/19</f>
        <v/>
      </c>
      <c r="N7" s="99" t="n">
        <v>333000</v>
      </c>
      <c r="O7" s="53">
        <f>IF(N7=0,"-",(M7-N7)/N7)</f>
        <v/>
      </c>
      <c r="P7" s="88">
        <f>8369001+H7</f>
        <v/>
      </c>
      <c r="Q7" s="88">
        <f>3507526+I7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(N8/31)</f>
        <v/>
      </c>
      <c r="E8" s="46">
        <f>IF(D8=0,"-",(C8-D8)/D8)</f>
        <v/>
      </c>
      <c r="F8" s="96" t="n">
        <v>37</v>
      </c>
      <c r="G8" s="47">
        <f>IF(F8=0,"-",(C8-F8)/F8)</f>
        <v/>
      </c>
      <c r="H8" s="103">
        <f>628.3+92.5+8440.1+111+425.5+686+101.4+407+444+37</f>
        <v/>
      </c>
      <c r="I8" s="113">
        <f>D8*19</f>
        <v/>
      </c>
      <c r="J8" s="50">
        <f>IF(I8=0,"-",(H8-I8)/I8)</f>
        <v/>
      </c>
      <c r="K8" s="103" t="n">
        <v>810463.5</v>
      </c>
      <c r="L8" s="51">
        <f>IF(K8=0,"-",(H8-K8)/K8)</f>
        <v/>
      </c>
      <c r="M8" s="91">
        <f>H8*31/19</f>
        <v/>
      </c>
      <c r="N8" s="104" t="n">
        <v>1036000</v>
      </c>
      <c r="O8" s="53">
        <f>IF(N8=0,"-",(M8-N8)/N8)</f>
        <v/>
      </c>
      <c r="P8" s="88">
        <f>6284818.03+H8</f>
        <v/>
      </c>
      <c r="Q8" s="88">
        <f>8200587.5+I8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  <row r="12">
      <c r="C12" s="76" t="n"/>
    </row>
    <row r="14">
      <c r="D14" s="76" t="n"/>
    </row>
  </sheetData>
  <conditionalFormatting sqref="E6">
    <cfRule type="iconSet" priority="2">
      <iconSet iconSet="3Arrows">
        <cfvo type="percent" val="0"/>
        <cfvo type="num" val="0"/>
        <cfvo type="num" val="0"/>
      </iconSet>
    </cfRule>
  </conditionalFormatting>
  <conditionalFormatting sqref="G6">
    <cfRule type="iconSet" priority="3">
      <iconSet iconSet="3Arrows">
        <cfvo type="percent" val="0"/>
        <cfvo type="num" val="0"/>
        <cfvo type="num" val="0"/>
      </iconSet>
    </cfRule>
  </conditionalFormatting>
  <conditionalFormatting sqref="J6">
    <cfRule type="iconSet" priority="8">
      <iconSet iconSet="3Arrows">
        <cfvo type="percent" val="0"/>
        <cfvo type="num" val="0"/>
        <cfvo type="num" val="0"/>
      </iconSet>
    </cfRule>
  </conditionalFormatting>
  <conditionalFormatting sqref="L6">
    <cfRule type="iconSet" priority="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0">
      <iconSet iconSet="3Arrows">
        <cfvo type="percent" val="0"/>
        <cfvo type="num" val="0"/>
        <cfvo type="num" val="0"/>
      </iconSet>
    </cfRule>
  </conditionalFormatting>
  <conditionalFormatting sqref="R6">
    <cfRule type="iconSet" priority="5">
      <iconSet iconSet="3Arrows">
        <cfvo type="percent" val="0"/>
        <cfvo type="num" val="0"/>
        <cfvo type="num" val="0"/>
      </iconSet>
    </cfRule>
  </conditionalFormatting>
  <conditionalFormatting sqref="R9">
    <cfRule type="iconSet" priority="1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2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13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1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16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17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8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2024-01-29T08:26:57Z</dcterms:created>
  <dcterms:modified xsi:type="dcterms:W3CDTF">2025-08-21T06:23:16Z</dcterms:modified>
  <cp:lastModifiedBy>Kelvin T. Mudzimuirema</cp:lastModifiedBy>
</cp:coreProperties>
</file>