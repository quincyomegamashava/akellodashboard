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19 Aug 2025  USD" sheetId="1" state="visible" r:id="rId1"/>
    <sheet name="19 Aug 2025 Zi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??_-;_-@_-"/>
    <numFmt numFmtId="165" formatCode="_-* #,##0.00_-;\-* #,##0.00_-;_-* &quot;-&quot;??_-;_-@_-"/>
    <numFmt numFmtId="166" formatCode="_-* #,##0.0_-;\-* #,##0.0_-;_-* &quot;-&quot;??_-;_-@_-"/>
    <numFmt numFmtId="167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n">
        <color theme="0"/>
      </left>
      <right style="thin">
        <color indexed="64"/>
      </right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7" fontId="1" fillId="0" borderId="0"/>
  </cellStyleXfs>
  <cellXfs count="114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0" applyAlignment="1" pivotButton="0" quotePrefix="0" xfId="1">
      <alignment horizontal="right" vertical="center"/>
    </xf>
    <xf numFmtId="164" fontId="3" fillId="5" borderId="11" applyAlignment="1" pivotButton="0" quotePrefix="0" xfId="1">
      <alignment horizontal="right" vertical="center"/>
    </xf>
    <xf numFmtId="164" fontId="2" fillId="5" borderId="11" applyAlignment="1" pivotButton="0" quotePrefix="0" xfId="2">
      <alignment horizontal="center" vertical="center"/>
    </xf>
    <xf numFmtId="164" fontId="3" fillId="5" borderId="12" applyAlignment="1" pivotButton="0" quotePrefix="0" xfId="1">
      <alignment horizontal="right" vertical="center"/>
    </xf>
    <xf numFmtId="9" fontId="2" fillId="5" borderId="13" applyAlignment="1" pivotButton="0" quotePrefix="0" xfId="2">
      <alignment horizontal="center" vertical="center"/>
    </xf>
    <xf numFmtId="164" fontId="5" fillId="5" borderId="14" applyAlignment="1" pivotButton="0" quotePrefix="0" xfId="1">
      <alignment horizontal="right" vertical="center"/>
    </xf>
    <xf numFmtId="9" fontId="2" fillId="5" borderId="15" applyAlignment="1" pivotButton="0" quotePrefix="0" xfId="2">
      <alignment horizontal="center" vertical="center"/>
    </xf>
    <xf numFmtId="164" fontId="3" fillId="5" borderId="16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5" fillId="5" borderId="15" applyAlignment="1" pivotButton="0" quotePrefix="0" xfId="1">
      <alignment horizontal="right" vertical="center"/>
    </xf>
    <xf numFmtId="9" fontId="2" fillId="5" borderId="17" applyAlignment="1" pivotButton="0" quotePrefix="0" xfId="2">
      <alignment horizontal="center" vertical="center"/>
    </xf>
    <xf numFmtId="9" fontId="2" fillId="5" borderId="18" applyAlignment="1" pivotButton="0" quotePrefix="0" xfId="2">
      <alignment horizontal="center" vertical="center"/>
    </xf>
    <xf numFmtId="164" fontId="5" fillId="3" borderId="19" pivotButton="0" quotePrefix="0" xfId="0"/>
    <xf numFmtId="165" fontId="2" fillId="3" borderId="19" pivotButton="0" quotePrefix="0" xfId="0"/>
    <xf numFmtId="164" fontId="2" fillId="3" borderId="19" pivotButton="0" quotePrefix="0" xfId="0"/>
    <xf numFmtId="0" fontId="2" fillId="3" borderId="19" pivotButton="0" quotePrefix="0" xfId="0"/>
    <xf numFmtId="0" fontId="2" fillId="3" borderId="20" pivotButton="0" quotePrefix="0" xfId="0"/>
    <xf numFmtId="0" fontId="5" fillId="6" borderId="21" applyAlignment="1" pivotButton="0" quotePrefix="0" xfId="0">
      <alignment vertical="center"/>
    </xf>
    <xf numFmtId="164" fontId="3" fillId="5" borderId="23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24" applyAlignment="1" pivotButton="0" quotePrefix="0" xfId="2">
      <alignment horizontal="center" vertical="center"/>
    </xf>
    <xf numFmtId="164" fontId="3" fillId="5" borderId="25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26" applyAlignment="1" pivotButton="0" quotePrefix="0" xfId="2">
      <alignment horizontal="center" vertical="center"/>
    </xf>
    <xf numFmtId="9" fontId="2" fillId="5" borderId="16" applyAlignment="1" pivotButton="0" quotePrefix="0" xfId="2">
      <alignment horizontal="center" vertical="center"/>
    </xf>
    <xf numFmtId="164" fontId="3" fillId="5" borderId="26" applyAlignment="1" pivotButton="0" quotePrefix="0" xfId="1">
      <alignment horizontal="right" vertical="center"/>
    </xf>
    <xf numFmtId="9" fontId="2" fillId="5" borderId="25" applyAlignment="1" pivotButton="0" quotePrefix="0" xfId="2">
      <alignment horizontal="center" vertical="center"/>
    </xf>
    <xf numFmtId="9" fontId="2" fillId="5" borderId="27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0" fontId="2" fillId="3" borderId="28" pivotButton="0" quotePrefix="0" xfId="0"/>
    <xf numFmtId="164" fontId="3" fillId="5" borderId="29" applyAlignment="1" pivotButton="0" quotePrefix="0" xfId="1">
      <alignment horizontal="right" vertical="center"/>
    </xf>
    <xf numFmtId="164" fontId="8" fillId="5" borderId="31" applyAlignment="1" pivotButton="0" quotePrefix="0" xfId="1">
      <alignment vertical="center"/>
    </xf>
    <xf numFmtId="164" fontId="8" fillId="5" borderId="32" applyAlignment="1" pivotButton="0" quotePrefix="0" xfId="1">
      <alignment vertical="center"/>
    </xf>
    <xf numFmtId="9" fontId="9" fillId="5" borderId="32" applyAlignment="1" pivotButton="0" quotePrefix="0" xfId="2">
      <alignment horizontal="center" vertical="center"/>
    </xf>
    <xf numFmtId="164" fontId="8" fillId="5" borderId="33" applyAlignment="1" pivotButton="0" quotePrefix="0" xfId="1">
      <alignment vertical="center"/>
    </xf>
    <xf numFmtId="9" fontId="9" fillId="5" borderId="34" applyAlignment="1" pivotButton="0" quotePrefix="0" xfId="2">
      <alignment horizontal="center" vertical="center"/>
    </xf>
    <xf numFmtId="164" fontId="8" fillId="5" borderId="35" applyAlignment="1" pivotButton="0" quotePrefix="0" xfId="1">
      <alignment vertical="center"/>
    </xf>
    <xf numFmtId="164" fontId="8" fillId="5" borderId="32" applyAlignment="1" pivotButton="0" quotePrefix="0" xfId="1">
      <alignment horizontal="right" vertical="center"/>
    </xf>
    <xf numFmtId="164" fontId="8" fillId="5" borderId="36" applyAlignment="1" pivotButton="0" quotePrefix="0" xfId="1">
      <alignment vertical="center"/>
    </xf>
    <xf numFmtId="9" fontId="9" fillId="5" borderId="33" applyAlignment="1" pivotButton="0" quotePrefix="0" xfId="2">
      <alignment horizontal="center" vertical="center"/>
    </xf>
    <xf numFmtId="164" fontId="8" fillId="5" borderId="35" applyAlignment="1" pivotButton="0" quotePrefix="0" xfId="1">
      <alignment horizontal="right" vertical="center"/>
    </xf>
    <xf numFmtId="164" fontId="9" fillId="5" borderId="34" applyAlignment="1" pivotButton="0" quotePrefix="0" xfId="1">
      <alignment horizontal="right" vertical="center"/>
    </xf>
    <xf numFmtId="9" fontId="9" fillId="5" borderId="35" applyAlignment="1" pivotButton="0" quotePrefix="0" xfId="2">
      <alignment horizontal="center" vertical="center"/>
    </xf>
    <xf numFmtId="9" fontId="9" fillId="5" borderId="37" applyAlignment="1" pivotButton="0" quotePrefix="0" xfId="2">
      <alignment horizontal="center" vertical="center"/>
    </xf>
    <xf numFmtId="0" fontId="8" fillId="6" borderId="30" applyAlignment="1" pivotButton="0" quotePrefix="0" xfId="0">
      <alignment vertical="center"/>
    </xf>
    <xf numFmtId="166" fontId="3" fillId="5" borderId="22" applyAlignment="1" pivotButton="0" quotePrefix="0" xfId="1">
      <alignment horizontal="right" vertical="center"/>
    </xf>
    <xf numFmtId="165" fontId="3" fillId="5" borderId="22" applyAlignment="1" pivotButton="0" quotePrefix="0" xfId="1">
      <alignment horizontal="right" vertical="center"/>
    </xf>
    <xf numFmtId="4" fontId="2" fillId="3" borderId="0" pivotButton="0" quotePrefix="0" xfId="0"/>
    <xf numFmtId="2" fontId="5" fillId="5" borderId="11" applyAlignment="1" pivotButton="0" quotePrefix="0" xfId="1">
      <alignment horizontal="right" vertical="center"/>
    </xf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3" fillId="5" borderId="10" applyAlignment="1" pivotButton="0" quotePrefix="0" xfId="1">
      <alignment horizontal="right" vertical="center"/>
    </xf>
    <xf numFmtId="164" fontId="3" fillId="5" borderId="11" applyAlignment="1" pivotButton="0" quotePrefix="0" xfId="1">
      <alignment horizontal="right" vertical="center"/>
    </xf>
    <xf numFmtId="164" fontId="2" fillId="5" borderId="11" applyAlignment="1" pivotButton="0" quotePrefix="0" xfId="2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4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5" fillId="5" borderId="15" applyAlignment="1" pivotButton="0" quotePrefix="0" xfId="1">
      <alignment horizontal="right" vertical="center"/>
    </xf>
    <xf numFmtId="164" fontId="5" fillId="3" borderId="19" pivotButton="0" quotePrefix="0" xfId="0"/>
    <xf numFmtId="165" fontId="2" fillId="3" borderId="19" pivotButton="0" quotePrefix="0" xfId="0"/>
    <xf numFmtId="164" fontId="2" fillId="3" borderId="19" pivotButton="0" quotePrefix="0" xfId="0"/>
    <xf numFmtId="166" fontId="3" fillId="5" borderId="22" applyAlignment="1" pivotButton="0" quotePrefix="0" xfId="1">
      <alignment horizontal="right" vertical="center"/>
    </xf>
    <xf numFmtId="164" fontId="3" fillId="5" borderId="23" applyAlignment="1" pivotButton="0" quotePrefix="0" xfId="1">
      <alignment horizontal="right" vertical="center"/>
    </xf>
    <xf numFmtId="164" fontId="3" fillId="5" borderId="25" applyAlignment="1" pivotButton="0" quotePrefix="0" xfId="1">
      <alignment horizontal="right" vertical="center"/>
    </xf>
    <xf numFmtId="164" fontId="3" fillId="5" borderId="26" applyAlignment="1" pivotButton="0" quotePrefix="0" xfId="1">
      <alignment horizontal="right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5" fontId="3" fillId="5" borderId="22" applyAlignment="1" pivotButton="0" quotePrefix="0" xfId="1">
      <alignment horizontal="right" vertical="center"/>
    </xf>
    <xf numFmtId="164" fontId="3" fillId="5" borderId="29" applyAlignment="1" pivotButton="0" quotePrefix="0" xfId="1">
      <alignment horizontal="right" vertical="center"/>
    </xf>
    <xf numFmtId="164" fontId="8" fillId="5" borderId="31" applyAlignment="1" pivotButton="0" quotePrefix="0" xfId="1">
      <alignment vertical="center"/>
    </xf>
    <xf numFmtId="164" fontId="8" fillId="5" borderId="32" applyAlignment="1" pivotButton="0" quotePrefix="0" xfId="1">
      <alignment vertical="center"/>
    </xf>
    <xf numFmtId="164" fontId="8" fillId="5" borderId="33" applyAlignment="1" pivotButton="0" quotePrefix="0" xfId="1">
      <alignment vertical="center"/>
    </xf>
    <xf numFmtId="164" fontId="8" fillId="5" borderId="35" applyAlignment="1" pivotButton="0" quotePrefix="0" xfId="1">
      <alignment vertical="center"/>
    </xf>
    <xf numFmtId="164" fontId="8" fillId="5" borderId="32" applyAlignment="1" pivotButton="0" quotePrefix="0" xfId="1">
      <alignment horizontal="right" vertical="center"/>
    </xf>
    <xf numFmtId="164" fontId="8" fillId="5" borderId="36" applyAlignment="1" pivotButton="0" quotePrefix="0" xfId="1">
      <alignment vertical="center"/>
    </xf>
    <xf numFmtId="164" fontId="8" fillId="5" borderId="35" applyAlignment="1" pivotButton="0" quotePrefix="0" xfId="1">
      <alignment horizontal="right" vertical="center"/>
    </xf>
    <xf numFmtId="164" fontId="9" fillId="5" borderId="34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77734375" customWidth="1" style="2" min="1" max="1"/>
    <col width="46.77734375" customWidth="1" style="2" min="2" max="2"/>
    <col width="19.33203125" customWidth="1" style="2" min="3" max="3"/>
    <col width="21.33203125" customWidth="1" style="2" min="4" max="4"/>
    <col width="16.44140625" customWidth="1" style="2" min="5" max="5"/>
    <col width="17.44140625" customWidth="1" style="2" min="6" max="6"/>
    <col width="22.554687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77734375" bestFit="1" customWidth="1" style="2" min="14" max="14"/>
    <col width="19.4414062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78" t="n"/>
      <c r="I2" s="78" t="n"/>
      <c r="J2" s="79" t="n"/>
      <c r="K2" s="79" t="n"/>
      <c r="L2" s="79" t="n"/>
      <c r="M2" s="79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0" t="n"/>
      <c r="D3" s="9" t="n"/>
      <c r="E3" s="1" t="n"/>
      <c r="F3" s="81" t="n"/>
      <c r="G3" s="78" t="n"/>
      <c r="H3" s="82" t="n"/>
      <c r="I3" s="81" t="n"/>
      <c r="J3" s="9" t="n"/>
      <c r="K3" s="9" t="n"/>
      <c r="L3" s="9" t="n"/>
      <c r="M3" s="9" t="n"/>
      <c r="N3" s="9" t="n"/>
      <c r="O3" s="9" t="n"/>
      <c r="P3" s="82" t="n"/>
      <c r="Q3" s="9" t="n"/>
      <c r="R3" s="9" t="n"/>
      <c r="S3" s="12" t="n"/>
      <c r="T3" s="12" t="n"/>
    </row>
    <row r="4" ht="77.55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Forecast (Budget)</t>
        </is>
      </c>
      <c r="J4" s="16" t="inlineStr">
        <is>
          <t>% Budget Variance</t>
        </is>
      </c>
      <c r="K4" s="15" t="inlineStr">
        <is>
          <t>Prior Month  MTD FY26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Forecast FY26 (Budget)</t>
        </is>
      </c>
      <c r="O4" s="14" t="inlineStr">
        <is>
          <t>Run rate % Variance</t>
        </is>
      </c>
      <c r="P4" s="15" t="inlineStr">
        <is>
          <t>YTD FY26 ACTUAL</t>
        </is>
      </c>
      <c r="Q4" s="15" t="inlineStr">
        <is>
          <t>YTD Forecast FY26</t>
        </is>
      </c>
      <c r="R4" s="17" t="inlineStr">
        <is>
          <t>FY26 %Budget Variance</t>
        </is>
      </c>
      <c r="S4" s="12" t="n"/>
      <c r="T4" s="12" t="n"/>
    </row>
    <row r="5" ht="21.6" customHeight="1" thickBot="1">
      <c r="A5" s="1" t="n"/>
      <c r="B5" s="18" t="n"/>
      <c r="C5" s="83" t="n"/>
      <c r="D5" s="84" t="n"/>
      <c r="E5" s="21" t="n"/>
      <c r="F5" s="84" t="n"/>
      <c r="G5" s="22" t="n"/>
      <c r="H5" s="83" t="n"/>
      <c r="I5" s="84" t="n"/>
      <c r="J5" s="22" t="n"/>
      <c r="K5" s="84" t="n"/>
      <c r="L5" s="22" t="n"/>
      <c r="M5" s="23" t="n"/>
      <c r="N5" s="24" t="n"/>
      <c r="O5" s="25" t="n"/>
      <c r="P5" s="84" t="n"/>
      <c r="Q5" s="84" t="n"/>
      <c r="R5" s="26" t="n"/>
      <c r="S5" s="12" t="n"/>
      <c r="T5" s="12" t="n"/>
    </row>
    <row r="6" ht="21.6" customHeight="1" thickBot="1">
      <c r="A6" s="1" t="n"/>
      <c r="B6" s="18" t="inlineStr">
        <is>
          <t>Akello</t>
        </is>
      </c>
      <c r="C6" s="85" t="n"/>
      <c r="D6" s="86" t="n"/>
      <c r="E6" s="87" t="n"/>
      <c r="F6" s="88" t="n"/>
      <c r="G6" s="31" t="n"/>
      <c r="H6" s="85" t="n"/>
      <c r="I6" s="89" t="n"/>
      <c r="J6" s="33" t="n"/>
      <c r="K6" s="90" t="n"/>
      <c r="L6" s="31" t="n"/>
      <c r="M6" s="91" t="n"/>
      <c r="N6" s="92" t="n"/>
      <c r="O6" s="37" t="n"/>
      <c r="P6" s="86" t="n"/>
      <c r="Q6" s="86" t="n"/>
      <c r="R6" s="38" t="n"/>
      <c r="S6" s="93" t="n"/>
      <c r="T6" s="93" t="n"/>
      <c r="U6" s="94" t="n"/>
      <c r="V6" s="95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3" t="n"/>
    </row>
    <row r="7" ht="22.05" customHeight="1" thickBot="1">
      <c r="A7" s="1" t="n"/>
      <c r="B7" s="44" t="inlineStr">
        <is>
          <t>Smart learning</t>
        </is>
      </c>
      <c r="C7" s="96" t="n">
        <v>0</v>
      </c>
      <c r="D7" s="97">
        <f>N7/31</f>
        <v/>
      </c>
      <c r="E7" s="46">
        <f>IF(D7=0,"-",(C7-D7)/D7)</f>
        <v/>
      </c>
      <c r="F7" s="96" t="n">
        <v>904</v>
      </c>
      <c r="G7" s="47">
        <f>IF(F7=0,"-",(C7-F7)/F7)</f>
        <v/>
      </c>
      <c r="H7" s="98">
        <f>1938+808+1067+796+355+1495+288+1031+904+1020</f>
        <v/>
      </c>
      <c r="I7" s="77">
        <f>D7*19</f>
        <v/>
      </c>
      <c r="J7" s="50">
        <f>IF(I7=0,"-",(H7-I7)/I7)</f>
        <v/>
      </c>
      <c r="K7" s="98" t="n">
        <v>37713</v>
      </c>
      <c r="L7" s="51">
        <f>IF(K7=0,"-",(H7-K7)/K7)</f>
        <v/>
      </c>
      <c r="M7" s="91">
        <f>H7*31/19</f>
        <v/>
      </c>
      <c r="N7" s="99" t="n">
        <v>9000</v>
      </c>
      <c r="O7" s="53">
        <f>IF(N7=0,"-",(M7-N7)/N7)</f>
        <v/>
      </c>
      <c r="P7" s="88">
        <f>240459.88+H7</f>
        <v/>
      </c>
      <c r="Q7" s="88">
        <f>116348+I7</f>
        <v/>
      </c>
      <c r="R7" s="54">
        <f>IF(Q7=0,"-",(P7-Q7)/Q7)</f>
        <v/>
      </c>
      <c r="S7" s="100" t="n"/>
      <c r="T7" s="100" t="n"/>
      <c r="U7" s="101" t="n"/>
      <c r="V7" s="102" t="n"/>
      <c r="AP7" s="58" t="n"/>
    </row>
    <row r="8" ht="22.05" customHeight="1" thickBot="1">
      <c r="A8" s="1" t="n"/>
      <c r="B8" s="44" t="inlineStr">
        <is>
          <t>Library</t>
        </is>
      </c>
      <c r="C8" s="96" t="n">
        <v>0</v>
      </c>
      <c r="D8" s="97">
        <f>N8/31</f>
        <v/>
      </c>
      <c r="E8" s="46">
        <f>IF(D8=0,"-",(C8-D8)/D8)</f>
        <v/>
      </c>
      <c r="F8" s="96" t="n">
        <v>1</v>
      </c>
      <c r="G8" s="47">
        <f>IF(F8=0,"-",(C8-F8)/F8)</f>
        <v/>
      </c>
      <c r="H8" s="103">
        <f>18.44+2.5+228.11+3+11.5+18.5+2.74+12+1</f>
        <v/>
      </c>
      <c r="I8" s="77">
        <f>D8*19</f>
        <v/>
      </c>
      <c r="J8" s="50">
        <f>IF(I8=0,"-",(H8-I8)/I8)</f>
        <v/>
      </c>
      <c r="K8" s="103" t="n">
        <v>21849.89</v>
      </c>
      <c r="L8" s="51">
        <f>IF(K8=0,"-",(H8-K8)/K8)</f>
        <v/>
      </c>
      <c r="M8" s="91">
        <f>H8*31/19</f>
        <v/>
      </c>
      <c r="N8" s="104" t="n">
        <v>28000</v>
      </c>
      <c r="O8" s="53">
        <f>IF(N8=0,"-",(M8-N8)/N8)</f>
        <v/>
      </c>
      <c r="P8" s="88">
        <f>176354.36+H8</f>
        <v/>
      </c>
      <c r="Q8" s="88">
        <f>237868.74+I8</f>
        <v/>
      </c>
      <c r="R8" s="54">
        <f>IF(Q8=0,"-",(P8-Q8)/Q8)</f>
        <v/>
      </c>
      <c r="S8" s="100" t="n"/>
      <c r="T8" s="100" t="n"/>
      <c r="U8" s="101" t="n"/>
      <c r="V8" s="102" t="n"/>
      <c r="AP8" s="58" t="n"/>
    </row>
    <row r="9" ht="21.75" customHeight="1" thickBot="1">
      <c r="A9" s="1" t="n"/>
      <c r="B9" s="73" t="inlineStr">
        <is>
          <t>Total</t>
        </is>
      </c>
      <c r="C9" s="105">
        <f>SUM(C7:C8)</f>
        <v/>
      </c>
      <c r="D9" s="106">
        <f>SUM(D7:D8)</f>
        <v/>
      </c>
      <c r="E9" s="62">
        <f>IF(D9=0,"-",(C9-D9)/D9)</f>
        <v/>
      </c>
      <c r="F9" s="107">
        <f>SUM(F7:F8)</f>
        <v/>
      </c>
      <c r="G9" s="64">
        <f>IF(F9=0,"-",(C9-F9)/F9)</f>
        <v/>
      </c>
      <c r="H9" s="108">
        <f>SUM(H7:H8)</f>
        <v/>
      </c>
      <c r="I9" s="109">
        <f>SUM(I7:I8)</f>
        <v/>
      </c>
      <c r="J9" s="64">
        <f>IF(I9=0,"-",(H9-I9)/I9)</f>
        <v/>
      </c>
      <c r="K9" s="110">
        <f>SUM(K7:K8)</f>
        <v/>
      </c>
      <c r="L9" s="68">
        <f>IF(K9=0,"-",(H9-K9)/K9)</f>
        <v/>
      </c>
      <c r="M9" s="111">
        <f>SUM(M7:M8)</f>
        <v/>
      </c>
      <c r="N9" s="112">
        <f>SUM(N7:N8)</f>
        <v/>
      </c>
      <c r="O9" s="71">
        <f>IF(N9=0,"-",(M9-N9)/N9)</f>
        <v/>
      </c>
      <c r="P9" s="106">
        <f>SUM(P7:P8)</f>
        <v/>
      </c>
      <c r="Q9" s="106">
        <f>SUM(Q7:Q8)</f>
        <v/>
      </c>
      <c r="R9" s="72">
        <f>IF(Q9=0,"-",(P9-Q9)/Q9)</f>
        <v/>
      </c>
      <c r="S9" s="12" t="n"/>
      <c r="T9" s="100" t="n"/>
      <c r="U9" s="101" t="n"/>
      <c r="V9" s="102" t="n"/>
      <c r="AP9" s="58" t="n"/>
    </row>
  </sheetData>
  <conditionalFormatting sqref="E6">
    <cfRule type="iconSet" priority="134">
      <iconSet iconSet="3Arrows">
        <cfvo type="percent" val="0"/>
        <cfvo type="num" val="0"/>
        <cfvo type="num" val="0"/>
      </iconSet>
    </cfRule>
  </conditionalFormatting>
  <conditionalFormatting sqref="G6">
    <cfRule type="iconSet" priority="135">
      <iconSet iconSet="3Arrows">
        <cfvo type="percent" val="0"/>
        <cfvo type="num" val="0"/>
        <cfvo type="num" val="0"/>
      </iconSet>
    </cfRule>
  </conditionalFormatting>
  <conditionalFormatting sqref="J6">
    <cfRule type="iconSet" priority="141">
      <iconSet iconSet="3Arrows">
        <cfvo type="percent" val="0"/>
        <cfvo type="num" val="0"/>
        <cfvo type="num" val="0"/>
      </iconSet>
    </cfRule>
  </conditionalFormatting>
  <conditionalFormatting sqref="L6">
    <cfRule type="iconSet" priority="138">
      <iconSet iconSet="3Arrows">
        <cfvo type="percent" val="0"/>
        <cfvo type="num" val="0"/>
        <cfvo type="num" val="0"/>
      </iconSet>
    </cfRule>
  </conditionalFormatting>
  <conditionalFormatting sqref="O6">
    <cfRule type="iconSet" priority="160">
      <iconSet iconSet="3Arrows">
        <cfvo type="percent" val="0"/>
        <cfvo type="num" val="0"/>
        <cfvo type="num" val="0"/>
      </iconSet>
    </cfRule>
  </conditionalFormatting>
  <conditionalFormatting sqref="R6">
    <cfRule type="iconSet" priority="137">
      <iconSet iconSet="3Arrows">
        <cfvo type="percent" val="0"/>
        <cfvo type="num" val="0"/>
        <cfvo type="num" val="0"/>
      </iconSet>
    </cfRule>
  </conditionalFormatting>
  <conditionalFormatting sqref="R9">
    <cfRule type="iconSet" priority="12">
      <iconSet iconSet="3Arrows">
        <cfvo type="percent" val="0"/>
        <cfvo type="num" val="0"/>
        <cfvo type="num" val="0"/>
      </iconSet>
    </cfRule>
  </conditionalFormatting>
  <conditionalFormatting sqref="E7:E9">
    <cfRule type="iconSet" priority="199">
      <iconSet iconSet="3Arrows">
        <cfvo type="percent" val="0"/>
        <cfvo type="num" val="0"/>
        <cfvo type="num" val="0"/>
      </iconSet>
    </cfRule>
  </conditionalFormatting>
  <conditionalFormatting sqref="G7:G9">
    <cfRule type="iconSet" priority="201">
      <iconSet iconSet="3Arrows">
        <cfvo type="percent" val="0"/>
        <cfvo type="num" val="0"/>
        <cfvo type="num" val="0"/>
      </iconSet>
    </cfRule>
  </conditionalFormatting>
  <conditionalFormatting sqref="J7:J9">
    <cfRule type="iconSet" priority="205">
      <iconSet iconSet="3Arrows">
        <cfvo type="percent" val="0"/>
        <cfvo type="num" val="0"/>
        <cfvo type="num" val="0"/>
      </iconSet>
    </cfRule>
  </conditionalFormatting>
  <conditionalFormatting sqref="L7:L9">
    <cfRule type="iconSet" priority="207">
      <iconSet iconSet="3Arrows">
        <cfvo type="percent" val="0"/>
        <cfvo type="num" val="0"/>
        <cfvo type="num" val="0"/>
      </iconSet>
    </cfRule>
  </conditionalFormatting>
  <conditionalFormatting sqref="O7:O9">
    <cfRule type="iconSet" priority="20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21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zoomScale="70" zoomScaleNormal="70" workbookViewId="0">
      <selection activeCell="C7" sqref="C7"/>
    </sheetView>
  </sheetViews>
  <sheetFormatPr baseColWidth="8" defaultColWidth="10.109375" defaultRowHeight="21"/>
  <cols>
    <col width="5.77734375" customWidth="1" style="2" min="1" max="1"/>
    <col width="46.77734375" customWidth="1" style="2" min="2" max="2"/>
    <col width="19.33203125" customWidth="1" style="2" min="3" max="3"/>
    <col width="21.33203125" customWidth="1" style="2" min="4" max="4"/>
    <col width="16.44140625" customWidth="1" style="2" min="5" max="5"/>
    <col width="17.44140625" customWidth="1" style="2" min="6" max="6"/>
    <col width="23.7773437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77734375" bestFit="1" customWidth="1" style="2" min="14" max="14"/>
    <col width="19.4414062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78" t="n"/>
      <c r="I2" s="78" t="n"/>
      <c r="J2" s="79" t="n"/>
      <c r="K2" s="79" t="n"/>
      <c r="L2" s="79" t="n"/>
      <c r="M2" s="79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0" t="n"/>
      <c r="D3" s="9" t="n"/>
      <c r="E3" s="1" t="n"/>
      <c r="F3" s="81" t="n"/>
      <c r="G3" s="78" t="n"/>
      <c r="H3" s="82" t="n"/>
      <c r="I3" s="81" t="n"/>
      <c r="J3" s="9" t="n"/>
      <c r="K3" s="9" t="n"/>
      <c r="L3" s="9" t="n"/>
      <c r="M3" s="9" t="n"/>
      <c r="N3" s="9" t="n"/>
      <c r="O3" s="9" t="n"/>
      <c r="P3" s="82" t="n"/>
      <c r="Q3" s="9" t="n"/>
      <c r="R3" s="9" t="n"/>
      <c r="S3" s="12" t="n"/>
      <c r="T3" s="12" t="n"/>
    </row>
    <row r="4" ht="77.55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FY25 Forecast (Budget)</t>
        </is>
      </c>
      <c r="J4" s="16" t="inlineStr">
        <is>
          <t>% Budget Variance</t>
        </is>
      </c>
      <c r="K4" s="15" t="inlineStr">
        <is>
          <t>Prior Month  MTD FY26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Forecast FY26 (Budget)</t>
        </is>
      </c>
      <c r="O4" s="14" t="inlineStr">
        <is>
          <t>Run rate % Variance</t>
        </is>
      </c>
      <c r="P4" s="15" t="inlineStr">
        <is>
          <t>YTD FY25 ACTUAL</t>
        </is>
      </c>
      <c r="Q4" s="15" t="inlineStr">
        <is>
          <t>YTD Forecast FY26</t>
        </is>
      </c>
      <c r="R4" s="17" t="inlineStr">
        <is>
          <t>FY26 %Budget Variance</t>
        </is>
      </c>
      <c r="S4" s="12" t="n"/>
      <c r="T4" s="12" t="n"/>
    </row>
    <row r="5" ht="21.6" customHeight="1" thickBot="1">
      <c r="A5" s="1" t="n"/>
      <c r="B5" s="18" t="n"/>
      <c r="C5" s="83" t="n"/>
      <c r="D5" s="84" t="n"/>
      <c r="E5" s="21" t="n"/>
      <c r="F5" s="84" t="n"/>
      <c r="G5" s="22" t="n"/>
      <c r="H5" s="83" t="n"/>
      <c r="I5" s="84" t="n"/>
      <c r="J5" s="22" t="n"/>
      <c r="K5" s="84" t="n"/>
      <c r="L5" s="22" t="n"/>
      <c r="M5" s="23" t="n"/>
      <c r="N5" s="24" t="n"/>
      <c r="O5" s="25" t="n"/>
      <c r="P5" s="84" t="n"/>
      <c r="Q5" s="84" t="n"/>
      <c r="R5" s="26" t="n"/>
      <c r="S5" s="12" t="n"/>
      <c r="T5" s="12" t="n"/>
    </row>
    <row r="6" ht="21.6" customHeight="1" thickBot="1">
      <c r="A6" s="1" t="n"/>
      <c r="B6" s="18" t="inlineStr">
        <is>
          <t>Akello</t>
        </is>
      </c>
      <c r="C6" s="85" t="n"/>
      <c r="D6" s="86" t="n"/>
      <c r="E6" s="87" t="n"/>
      <c r="F6" s="88" t="n"/>
      <c r="G6" s="31" t="n"/>
      <c r="H6" s="85" t="n"/>
      <c r="I6" s="89" t="n"/>
      <c r="J6" s="33" t="n"/>
      <c r="K6" s="90" t="n"/>
      <c r="L6" s="31" t="n"/>
      <c r="M6" s="91" t="n"/>
      <c r="N6" s="92" t="n"/>
      <c r="O6" s="37" t="n"/>
      <c r="P6" s="86" t="n"/>
      <c r="Q6" s="86" t="n"/>
      <c r="R6" s="38" t="n"/>
      <c r="S6" s="93" t="n"/>
      <c r="T6" s="93" t="n"/>
      <c r="U6" s="94" t="n"/>
      <c r="V6" s="95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3" t="n"/>
    </row>
    <row r="7" ht="22.05" customHeight="1" thickBot="1">
      <c r="A7" s="1" t="n"/>
      <c r="B7" s="44" t="inlineStr">
        <is>
          <t>Smart learning</t>
        </is>
      </c>
      <c r="C7" s="96">
        <f>1020*37</f>
        <v/>
      </c>
      <c r="D7" s="97">
        <f>(N7/31)</f>
        <v/>
      </c>
      <c r="E7" s="46">
        <f>IF(D7=0,"-",(C7-D7)/D7)</f>
        <v/>
      </c>
      <c r="F7" s="96" t="n">
        <v>33448</v>
      </c>
      <c r="G7" s="47">
        <f>IF(F7=0,"-",(C7-F7)/F7)</f>
        <v/>
      </c>
      <c r="H7" s="98">
        <f>71706+29896+39479+29452+13135+55315+10656+13542+38147+33448+37740</f>
        <v/>
      </c>
      <c r="I7" s="113">
        <f>D7*19</f>
        <v/>
      </c>
      <c r="J7" s="50">
        <f>IF(I7=0,"-",(H7-I7)/I7)</f>
        <v/>
      </c>
      <c r="K7" s="98" t="n">
        <v>1395381</v>
      </c>
      <c r="L7" s="51">
        <f>IF(K7=0,"-",(H7-K7)/K7)</f>
        <v/>
      </c>
      <c r="M7" s="91">
        <f>H7*31/19</f>
        <v/>
      </c>
      <c r="N7" s="99" t="n">
        <v>333000</v>
      </c>
      <c r="O7" s="53">
        <f>IF(N7=0,"-",(M7-N7)/N7)</f>
        <v/>
      </c>
      <c r="P7" s="88">
        <f>8369001+H7</f>
        <v/>
      </c>
      <c r="Q7" s="88">
        <f>3507526+I7</f>
        <v/>
      </c>
      <c r="R7" s="54">
        <f>IF(Q7=0,"-",(P7-Q7)/Q7)</f>
        <v/>
      </c>
      <c r="S7" s="100" t="n"/>
      <c r="T7" s="100" t="n"/>
      <c r="U7" s="101" t="n"/>
      <c r="V7" s="102" t="n"/>
      <c r="AP7" s="58" t="n"/>
    </row>
    <row r="8" ht="22.05" customHeight="1" thickBot="1">
      <c r="A8" s="1" t="n"/>
      <c r="B8" s="44" t="inlineStr">
        <is>
          <t>Library</t>
        </is>
      </c>
      <c r="C8" s="96" t="n">
        <v>0</v>
      </c>
      <c r="D8" s="97">
        <f>(N8/31)</f>
        <v/>
      </c>
      <c r="E8" s="46">
        <f>IF(D8=0,"-",(C8-D8)/D8)</f>
        <v/>
      </c>
      <c r="F8" s="96" t="n">
        <v>37</v>
      </c>
      <c r="G8" s="47">
        <f>IF(F8=0,"-",(C8-F8)/F8)</f>
        <v/>
      </c>
      <c r="H8" s="103">
        <f>628.3+92.5+8440.1+111+425.5+686+101.4+407+444+37</f>
        <v/>
      </c>
      <c r="I8" s="113">
        <f>D8*19</f>
        <v/>
      </c>
      <c r="J8" s="50">
        <f>IF(I8=0,"-",(H8-I8)/I8)</f>
        <v/>
      </c>
      <c r="K8" s="103" t="n">
        <v>810463.5</v>
      </c>
      <c r="L8" s="51">
        <f>IF(K8=0,"-",(H8-K8)/K8)</f>
        <v/>
      </c>
      <c r="M8" s="91">
        <f>H8*31/19</f>
        <v/>
      </c>
      <c r="N8" s="104" t="n">
        <v>1036000</v>
      </c>
      <c r="O8" s="53">
        <f>IF(N8=0,"-",(M8-N8)/N8)</f>
        <v/>
      </c>
      <c r="P8" s="88">
        <f>6284818.03+H8</f>
        <v/>
      </c>
      <c r="Q8" s="88">
        <f>8200587.5+I8</f>
        <v/>
      </c>
      <c r="R8" s="54">
        <f>IF(Q8=0,"-",(P8-Q8)/Q8)</f>
        <v/>
      </c>
      <c r="S8" s="100" t="n"/>
      <c r="T8" s="100" t="n"/>
      <c r="U8" s="101" t="n"/>
      <c r="V8" s="102" t="n"/>
      <c r="AP8" s="58" t="n"/>
    </row>
    <row r="9" ht="21.75" customHeight="1" thickBot="1">
      <c r="A9" s="1" t="n"/>
      <c r="B9" s="73" t="inlineStr">
        <is>
          <t>Total</t>
        </is>
      </c>
      <c r="C9" s="105">
        <f>SUM(C7:C8)</f>
        <v/>
      </c>
      <c r="D9" s="106">
        <f>SUM(D7:D8)</f>
        <v/>
      </c>
      <c r="E9" s="62">
        <f>IF(D9=0,"-",(C9-D9)/D9)</f>
        <v/>
      </c>
      <c r="F9" s="107">
        <f>SUM(F7:F8)</f>
        <v/>
      </c>
      <c r="G9" s="64">
        <f>IF(F9=0,"-",(C9-F9)/F9)</f>
        <v/>
      </c>
      <c r="H9" s="108">
        <f>SUM(H7:H8)</f>
        <v/>
      </c>
      <c r="I9" s="109">
        <f>SUM(I7:I8)</f>
        <v/>
      </c>
      <c r="J9" s="64">
        <f>IF(I9=0,"-",(H9-I9)/I9)</f>
        <v/>
      </c>
      <c r="K9" s="110">
        <f>SUM(K7:K8)</f>
        <v/>
      </c>
      <c r="L9" s="68">
        <f>IF(K9=0,"-",(H9-K9)/K9)</f>
        <v/>
      </c>
      <c r="M9" s="111">
        <f>SUM(M7:M8)</f>
        <v/>
      </c>
      <c r="N9" s="112">
        <f>SUM(N7:N8)</f>
        <v/>
      </c>
      <c r="O9" s="71">
        <f>IF(N9=0,"-",(M9-N9)/N9)</f>
        <v/>
      </c>
      <c r="P9" s="106">
        <f>SUM(P7:P8)</f>
        <v/>
      </c>
      <c r="Q9" s="106">
        <f>SUM(Q7:Q8)</f>
        <v/>
      </c>
      <c r="R9" s="72">
        <f>IF(Q9=0,"-",(P9-Q9)/Q9)</f>
        <v/>
      </c>
      <c r="S9" s="12" t="n"/>
      <c r="T9" s="100" t="n"/>
      <c r="U9" s="101" t="n"/>
      <c r="V9" s="102" t="n"/>
      <c r="AP9" s="58" t="n"/>
    </row>
    <row r="12">
      <c r="C12" s="76" t="n"/>
    </row>
    <row r="14">
      <c r="D14" s="76" t="n"/>
    </row>
  </sheetData>
  <conditionalFormatting sqref="E6">
    <cfRule type="iconSet" priority="2">
      <iconSet iconSet="3Arrows">
        <cfvo type="percent" val="0"/>
        <cfvo type="num" val="0"/>
        <cfvo type="num" val="0"/>
      </iconSet>
    </cfRule>
  </conditionalFormatting>
  <conditionalFormatting sqref="G6">
    <cfRule type="iconSet" priority="3">
      <iconSet iconSet="3Arrows">
        <cfvo type="percent" val="0"/>
        <cfvo type="num" val="0"/>
        <cfvo type="num" val="0"/>
      </iconSet>
    </cfRule>
  </conditionalFormatting>
  <conditionalFormatting sqref="J6">
    <cfRule type="iconSet" priority="8">
      <iconSet iconSet="3Arrows">
        <cfvo type="percent" val="0"/>
        <cfvo type="num" val="0"/>
        <cfvo type="num" val="0"/>
      </iconSet>
    </cfRule>
  </conditionalFormatting>
  <conditionalFormatting sqref="L6">
    <cfRule type="iconSet" priority="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0">
      <iconSet iconSet="3Arrows">
        <cfvo type="percent" val="0"/>
        <cfvo type="num" val="0"/>
        <cfvo type="num" val="0"/>
      </iconSet>
    </cfRule>
  </conditionalFormatting>
  <conditionalFormatting sqref="R6">
    <cfRule type="iconSet" priority="5">
      <iconSet iconSet="3Arrows">
        <cfvo type="percent" val="0"/>
        <cfvo type="num" val="0"/>
        <cfvo type="num" val="0"/>
      </iconSet>
    </cfRule>
  </conditionalFormatting>
  <conditionalFormatting sqref="R9">
    <cfRule type="iconSet" priority="1">
      <iconSet iconSet="3Arrows">
        <cfvo type="percent" val="0"/>
        <cfvo type="num" val="0"/>
        <cfvo type="num" val="0"/>
      </iconSet>
    </cfRule>
  </conditionalFormatting>
  <conditionalFormatting sqref="E7:E9">
    <cfRule type="iconSet" priority="12">
      <iconSet iconSet="3Arrows">
        <cfvo type="percent" val="0"/>
        <cfvo type="num" val="0"/>
        <cfvo type="num" val="0"/>
      </iconSet>
    </cfRule>
  </conditionalFormatting>
  <conditionalFormatting sqref="G7:G9">
    <cfRule type="iconSet" priority="13">
      <iconSet iconSet="3Arrows">
        <cfvo type="percent" val="0"/>
        <cfvo type="num" val="0"/>
        <cfvo type="num" val="0"/>
      </iconSet>
    </cfRule>
  </conditionalFormatting>
  <conditionalFormatting sqref="J7:J9">
    <cfRule type="iconSet" priority="15">
      <iconSet iconSet="3Arrows">
        <cfvo type="percent" val="0"/>
        <cfvo type="num" val="0"/>
        <cfvo type="num" val="0"/>
      </iconSet>
    </cfRule>
  </conditionalFormatting>
  <conditionalFormatting sqref="L7:L9">
    <cfRule type="iconSet" priority="16">
      <iconSet iconSet="3Arrows">
        <cfvo type="percent" val="0"/>
        <cfvo type="num" val="0"/>
        <cfvo type="num" val="0"/>
      </iconSet>
    </cfRule>
  </conditionalFormatting>
  <conditionalFormatting sqref="O7:O9">
    <cfRule type="iconSet" priority="17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8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2024-01-29T08:26:57Z</dcterms:created>
  <dcterms:modified xsi:type="dcterms:W3CDTF">2025-08-20T19:54:12Z</dcterms:modified>
  <cp:lastModifiedBy>Kelvin T. Mudzimuirema</cp:lastModifiedBy>
</cp:coreProperties>
</file>